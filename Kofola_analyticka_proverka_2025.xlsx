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apam\Desktop\"/>
    </mc:Choice>
  </mc:AlternateContent>
  <xr:revisionPtr revIDLastSave="0" documentId="8_{326FD684-A150-46C1-827F-A9439F4A9A1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01 Úvod" sheetId="1" r:id="rId1"/>
    <sheet name="02 Výsledovka" sheetId="2" r:id="rId2"/>
    <sheet name="03 Segmenty" sheetId="3" r:id="rId3"/>
    <sheet name="04 Zásoby" sheetId="4" r:id="rId4"/>
    <sheet name="05 Pohledávky" sheetId="5" r:id="rId5"/>
    <sheet name="06 Dlouhodobý majetek" sheetId="6" r:id="rId6"/>
    <sheet name="07 Rozvaha a likvidita" sheetId="7" r:id="rId7"/>
    <sheet name="08 Peněžní toky" sheetId="8" r:id="rId8"/>
    <sheet name="09 Dluh a splatnost" sheetId="9" r:id="rId9"/>
    <sheet name="10 Souhrn propočtů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0" l="1"/>
  <c r="D14" i="10"/>
  <c r="C14" i="10"/>
  <c r="D11" i="10"/>
  <c r="E11" i="10" s="1"/>
  <c r="C11" i="10"/>
  <c r="D10" i="10"/>
  <c r="C10" i="10"/>
  <c r="D7" i="10"/>
  <c r="D4" i="10"/>
  <c r="C4" i="10"/>
  <c r="D33" i="9"/>
  <c r="E33" i="9" s="1"/>
  <c r="C33" i="9"/>
  <c r="F32" i="9"/>
  <c r="E32" i="9"/>
  <c r="F30" i="9"/>
  <c r="E30" i="9"/>
  <c r="D28" i="9"/>
  <c r="E28" i="9" s="1"/>
  <c r="C28" i="9"/>
  <c r="D27" i="9"/>
  <c r="F27" i="9" s="1"/>
  <c r="C27" i="9"/>
  <c r="D26" i="9"/>
  <c r="F26" i="9" s="1"/>
  <c r="C26" i="9"/>
  <c r="C29" i="9" s="1"/>
  <c r="C31" i="9" s="1"/>
  <c r="C18" i="10" s="1"/>
  <c r="D25" i="9"/>
  <c r="E25" i="9" s="1"/>
  <c r="C25" i="9"/>
  <c r="D24" i="9"/>
  <c r="F24" i="9" s="1"/>
  <c r="C24" i="9"/>
  <c r="C17" i="10" s="1"/>
  <c r="I19" i="9"/>
  <c r="H19" i="9"/>
  <c r="G19" i="9"/>
  <c r="F19" i="9"/>
  <c r="E19" i="9"/>
  <c r="D19" i="9"/>
  <c r="C19" i="9"/>
  <c r="I9" i="9"/>
  <c r="H9" i="9"/>
  <c r="G9" i="9"/>
  <c r="F9" i="9"/>
  <c r="E9" i="9"/>
  <c r="D9" i="9"/>
  <c r="C9" i="9"/>
  <c r="D29" i="8"/>
  <c r="D16" i="10" s="1"/>
  <c r="D28" i="8"/>
  <c r="E28" i="8" s="1"/>
  <c r="C28" i="8"/>
  <c r="C29" i="8" s="1"/>
  <c r="C16" i="10" s="1"/>
  <c r="D27" i="8"/>
  <c r="E27" i="8" s="1"/>
  <c r="C27" i="8"/>
  <c r="D26" i="8"/>
  <c r="E26" i="8" s="1"/>
  <c r="C26" i="8"/>
  <c r="D25" i="8"/>
  <c r="E25" i="8" s="1"/>
  <c r="C25" i="8"/>
  <c r="D24" i="8"/>
  <c r="E24" i="8" s="1"/>
  <c r="C24" i="8"/>
  <c r="D23" i="8"/>
  <c r="E23" i="8" s="1"/>
  <c r="E15" i="10" s="1"/>
  <c r="C23" i="8"/>
  <c r="C15" i="10" s="1"/>
  <c r="F18" i="8"/>
  <c r="E18" i="8"/>
  <c r="F17" i="8"/>
  <c r="E17" i="8"/>
  <c r="F16" i="8"/>
  <c r="E16" i="8"/>
  <c r="F15" i="8"/>
  <c r="E15" i="8"/>
  <c r="F14" i="8"/>
  <c r="E14" i="8"/>
  <c r="F11" i="8"/>
  <c r="E11" i="8"/>
  <c r="F9" i="8"/>
  <c r="E9" i="8"/>
  <c r="D8" i="8"/>
  <c r="E8" i="8" s="1"/>
  <c r="C8" i="8"/>
  <c r="C10" i="8" s="1"/>
  <c r="C12" i="8" s="1"/>
  <c r="F7" i="8"/>
  <c r="E7" i="8"/>
  <c r="F6" i="8"/>
  <c r="E6" i="8"/>
  <c r="F5" i="8"/>
  <c r="E5" i="8"/>
  <c r="F4" i="8"/>
  <c r="E4" i="8"/>
  <c r="E14" i="10" s="1"/>
  <c r="E21" i="7"/>
  <c r="D21" i="7"/>
  <c r="C21" i="7"/>
  <c r="D20" i="7"/>
  <c r="E20" i="7" s="1"/>
  <c r="E12" i="10" s="1"/>
  <c r="C20" i="7"/>
  <c r="C12" i="10" s="1"/>
  <c r="D19" i="7"/>
  <c r="D13" i="10" s="1"/>
  <c r="C19" i="7"/>
  <c r="C13" i="10" s="1"/>
  <c r="E18" i="7"/>
  <c r="D18" i="7"/>
  <c r="C18" i="7"/>
  <c r="F12" i="7"/>
  <c r="E12" i="7"/>
  <c r="E10" i="7"/>
  <c r="D10" i="7"/>
  <c r="F10" i="7" s="1"/>
  <c r="C10" i="7"/>
  <c r="F9" i="7"/>
  <c r="E9" i="7"/>
  <c r="F8" i="7"/>
  <c r="E8" i="7"/>
  <c r="F7" i="7"/>
  <c r="E7" i="7"/>
  <c r="D6" i="7"/>
  <c r="D17" i="7" s="1"/>
  <c r="C6" i="7"/>
  <c r="C17" i="7" s="1"/>
  <c r="F5" i="7"/>
  <c r="E5" i="7"/>
  <c r="F4" i="7"/>
  <c r="E4" i="7"/>
  <c r="D20" i="6"/>
  <c r="C20" i="6"/>
  <c r="D19" i="6"/>
  <c r="C19" i="6"/>
  <c r="C12" i="6"/>
  <c r="F4" i="6"/>
  <c r="E4" i="6"/>
  <c r="E10" i="10" s="1"/>
  <c r="D29" i="5"/>
  <c r="D28" i="5"/>
  <c r="C28" i="5"/>
  <c r="D27" i="5"/>
  <c r="E27" i="5" s="1"/>
  <c r="C27" i="5"/>
  <c r="E26" i="5"/>
  <c r="D26" i="5"/>
  <c r="C26" i="5"/>
  <c r="D25" i="5"/>
  <c r="D8" i="10" s="1"/>
  <c r="E24" i="5"/>
  <c r="E9" i="10" s="1"/>
  <c r="D24" i="5"/>
  <c r="D9" i="10" s="1"/>
  <c r="C24" i="5"/>
  <c r="C9" i="10" s="1"/>
  <c r="D18" i="5"/>
  <c r="D19" i="5" s="1"/>
  <c r="D17" i="5"/>
  <c r="C17" i="5"/>
  <c r="C18" i="5" s="1"/>
  <c r="C19" i="5" s="1"/>
  <c r="E16" i="5"/>
  <c r="E15" i="5"/>
  <c r="E14" i="5"/>
  <c r="E13" i="5"/>
  <c r="E12" i="5"/>
  <c r="E11" i="5"/>
  <c r="E6" i="5"/>
  <c r="D6" i="5"/>
  <c r="F6" i="5" s="1"/>
  <c r="C6" i="5"/>
  <c r="F5" i="5"/>
  <c r="E5" i="5"/>
  <c r="F4" i="5"/>
  <c r="E4" i="5"/>
  <c r="C22" i="4"/>
  <c r="C21" i="4"/>
  <c r="D12" i="4"/>
  <c r="E11" i="4"/>
  <c r="E7" i="10" s="1"/>
  <c r="D11" i="4"/>
  <c r="C11" i="4"/>
  <c r="C7" i="10" s="1"/>
  <c r="D6" i="4"/>
  <c r="D22" i="7" s="1"/>
  <c r="E22" i="7" s="1"/>
  <c r="C6" i="4"/>
  <c r="C22" i="7" s="1"/>
  <c r="F5" i="4"/>
  <c r="E5" i="4"/>
  <c r="F4" i="4"/>
  <c r="E4" i="4"/>
  <c r="D15" i="3"/>
  <c r="E15" i="3" s="1"/>
  <c r="C15" i="3"/>
  <c r="E14" i="3"/>
  <c r="E13" i="3"/>
  <c r="D8" i="3"/>
  <c r="F8" i="3" s="1"/>
  <c r="C8" i="3"/>
  <c r="F7" i="3"/>
  <c r="E7" i="3"/>
  <c r="F6" i="3"/>
  <c r="E6" i="3"/>
  <c r="F5" i="3"/>
  <c r="E5" i="3"/>
  <c r="F4" i="3"/>
  <c r="E4" i="3"/>
  <c r="E25" i="2"/>
  <c r="E24" i="2"/>
  <c r="E23" i="2"/>
  <c r="E18" i="2"/>
  <c r="D18" i="2"/>
  <c r="C18" i="2"/>
  <c r="D17" i="2"/>
  <c r="C17" i="2"/>
  <c r="E17" i="2" s="1"/>
  <c r="D16" i="2"/>
  <c r="D5" i="10" s="1"/>
  <c r="C16" i="2"/>
  <c r="C5" i="10" s="1"/>
  <c r="F11" i="2"/>
  <c r="E11" i="2"/>
  <c r="F10" i="2"/>
  <c r="E10" i="2"/>
  <c r="E9" i="2"/>
  <c r="F9" i="2" s="1"/>
  <c r="F8" i="2"/>
  <c r="E8" i="2"/>
  <c r="F7" i="2"/>
  <c r="E7" i="2"/>
  <c r="F6" i="2"/>
  <c r="E6" i="2"/>
  <c r="F5" i="2"/>
  <c r="E5" i="2"/>
  <c r="F4" i="2"/>
  <c r="E4" i="2"/>
  <c r="E4" i="10" s="1"/>
  <c r="E17" i="7" l="1"/>
  <c r="C6" i="10"/>
  <c r="F25" i="9"/>
  <c r="F28" i="9"/>
  <c r="E8" i="3"/>
  <c r="C25" i="5"/>
  <c r="C8" i="10" s="1"/>
  <c r="E29" i="8"/>
  <c r="E16" i="10" s="1"/>
  <c r="D29" i="9"/>
  <c r="E6" i="4"/>
  <c r="E6" i="10" s="1"/>
  <c r="E6" i="7"/>
  <c r="C11" i="7"/>
  <c r="E19" i="7"/>
  <c r="E13" i="10" s="1"/>
  <c r="D10" i="8"/>
  <c r="D12" i="8" s="1"/>
  <c r="E26" i="9"/>
  <c r="F6" i="4"/>
  <c r="F6" i="7"/>
  <c r="D11" i="7"/>
  <c r="D12" i="10"/>
  <c r="E17" i="5"/>
  <c r="E16" i="2"/>
  <c r="E5" i="10" s="1"/>
  <c r="E24" i="9"/>
  <c r="E17" i="10" s="1"/>
  <c r="E27" i="9"/>
  <c r="D17" i="10"/>
  <c r="C12" i="4"/>
  <c r="E12" i="4" s="1"/>
  <c r="E18" i="5"/>
  <c r="D6" i="10"/>
  <c r="D31" i="9" l="1"/>
  <c r="F29" i="9"/>
  <c r="E29" i="9"/>
  <c r="E25" i="5"/>
  <c r="E8" i="10" s="1"/>
  <c r="D18" i="10" l="1"/>
  <c r="E31" i="9"/>
  <c r="E18" i="10" s="1"/>
</calcChain>
</file>

<file path=xl/sharedStrings.xml><?xml version="1.0" encoding="utf-8"?>
<sst xmlns="http://schemas.openxmlformats.org/spreadsheetml/2006/main" count="280" uniqueCount="206">
  <si>
    <t>KOFOLA ČESKOSLOVENSKO – ANALYTICKÁ PROVĚRKA 2025</t>
  </si>
  <si>
    <t>Podkladové výpočty ke konsolidované účetní závěrce za rok 2025</t>
  </si>
  <si>
    <t>Komparativní údaje za rok 2024 jsou uvedeny tam, kde jsou pro výpočty potřeba.</t>
  </si>
  <si>
    <t>Tento Excel obsahuje výhradně zdrojové účetní hodnoty, výpočty a kontrolní vazby.</t>
  </si>
  <si>
    <t>Účetní období: 2025 (srovnávací 2024)</t>
  </si>
  <si>
    <t>Jednotky: tis. Kč, pokud není uvedeno jinak</t>
  </si>
  <si>
    <t>Podklad: veřejné výroční zprávy Kofola ČeskoSlovensko a.s.</t>
  </si>
  <si>
    <t>Nezávislý studentský analytický projekt; nejedná se o statutární audit.</t>
  </si>
  <si>
    <t>PŘEHLED LISTŮ</t>
  </si>
  <si>
    <t>List</t>
  </si>
  <si>
    <t>Obsah</t>
  </si>
  <si>
    <t>02 Výsledovka</t>
  </si>
  <si>
    <t>Výsledovka, vývoj tržeb, nákladů a hrubé marže</t>
  </si>
  <si>
    <t>03 Segmenty</t>
  </si>
  <si>
    <t>Tržby a ukazatele segmentů</t>
  </si>
  <si>
    <t>04 Zásoby</t>
  </si>
  <si>
    <t>Zásoby, opravné položky a poměrové ukazatele</t>
  </si>
  <si>
    <t>05 Pohledávky</t>
  </si>
  <si>
    <t>Pohledávky, splatnost, opravné položky, DSO</t>
  </si>
  <si>
    <t>06 Dlouhodobý majetek</t>
  </si>
  <si>
    <t>Přírůstky, leasing, odpisy a pozemky</t>
  </si>
  <si>
    <t>07 Rozvaha a likvidita</t>
  </si>
  <si>
    <t>Bilanční rovnice, pracovní kapitál a likvidita</t>
  </si>
  <si>
    <t>08 Peněžní toky</t>
  </si>
  <si>
    <t>Cash flow, FCF a dluhová služba</t>
  </si>
  <si>
    <t>09 Dluh a splatnost</t>
  </si>
  <si>
    <t>Splatnost úvěrů, kovenanty a zadlužení</t>
  </si>
  <si>
    <t>10 Souhrn propočtů</t>
  </si>
  <si>
    <t>Výběr vzorců pro auditní memorandum</t>
  </si>
  <si>
    <t>KONSOLIDOVANÁ VÝSLEDOVKA</t>
  </si>
  <si>
    <t>Ukazatel (tis. Kč)</t>
  </si>
  <si>
    <t>2024</t>
  </si>
  <si>
    <t>2025</t>
  </si>
  <si>
    <t>Změna</t>
  </si>
  <si>
    <t>Změna %</t>
  </si>
  <si>
    <t>Tržby</t>
  </si>
  <si>
    <t>Náklady na prodané výkony</t>
  </si>
  <si>
    <t>Hrubý zisk</t>
  </si>
  <si>
    <t>Prodejní a distribuční náklady</t>
  </si>
  <si>
    <t>Správní náklady</t>
  </si>
  <si>
    <t>Provozní zisk</t>
  </si>
  <si>
    <t>Zisk před zdaněním</t>
  </si>
  <si>
    <t>Čistý zisk</t>
  </si>
  <si>
    <t>POMĚROVÉ UKAZATELE</t>
  </si>
  <si>
    <t>Ukazatel</t>
  </si>
  <si>
    <t>Změna (p. b.)</t>
  </si>
  <si>
    <t>Hrubá marže</t>
  </si>
  <si>
    <t>Podíl nákladů na prodeji</t>
  </si>
  <si>
    <t>Provozní marže</t>
  </si>
  <si>
    <t>NÁKLADY PODLE DRUHU</t>
  </si>
  <si>
    <t>Materiál, energie, prodané zboží</t>
  </si>
  <si>
    <t>Osobní náklady</t>
  </si>
  <si>
    <t>Odpisy a amortizace</t>
  </si>
  <si>
    <t>SEGMENTOVÉ TRŽBY</t>
  </si>
  <si>
    <t>Segment</t>
  </si>
  <si>
    <t>2024 (mil. Kč)</t>
  </si>
  <si>
    <t>2025 (mil. Kč)</t>
  </si>
  <si>
    <t>Změna (mil. Kč)</t>
  </si>
  <si>
    <t>CzechoSlovakia</t>
  </si>
  <si>
    <t>Adriatic</t>
  </si>
  <si>
    <t>Beers &amp; Ciders</t>
  </si>
  <si>
    <t>Fresh &amp; Herbs</t>
  </si>
  <si>
    <t>Celkové tržby segmentů</t>
  </si>
  <si>
    <t>DOPLŇUJÍCÍ SEGMENTOVÉ ÚDAJE</t>
  </si>
  <si>
    <t>Adjusted EBITDA – skupina (tis. Kč)</t>
  </si>
  <si>
    <t>EBITDA – skupina (tis. Kč)</t>
  </si>
  <si>
    <t>Adjusted EBITDA marže</t>
  </si>
  <si>
    <t>Výroční zpráva Kofola 2025, B-29 až B-31, A-15 až A-19</t>
  </si>
  <si>
    <t>ZÁSOBY A OPRAVNÉ POLOŽKY</t>
  </si>
  <si>
    <t>Zásoby brutto</t>
  </si>
  <si>
    <t>Opravné položky</t>
  </si>
  <si>
    <t>Zásoby netto</t>
  </si>
  <si>
    <t>OP / hrubé zásoby</t>
  </si>
  <si>
    <t>Zásoby / tržby</t>
  </si>
  <si>
    <t>POHYB OPRAVNÝCH POLOŽEK 2025</t>
  </si>
  <si>
    <t>Položka</t>
  </si>
  <si>
    <t>2025 (tis. Kč)</t>
  </si>
  <si>
    <t>Počáteční zůstatek</t>
  </si>
  <si>
    <t>Tvorba</t>
  </si>
  <si>
    <t>Použití / rozpuštění</t>
  </si>
  <si>
    <t>Kurzový rozdíl</t>
  </si>
  <si>
    <t>Konečný zůstatek</t>
  </si>
  <si>
    <t>Kontrola proti rozvaze</t>
  </si>
  <si>
    <t>Výroční zpráva Kofola 2025, pozn. 4.14, B-49</t>
  </si>
  <si>
    <t>OBCHODNÍ POHLEDÁVKY</t>
  </si>
  <si>
    <t>Obchodní pohledávky brutto</t>
  </si>
  <si>
    <t>Obchodní pohledávky netto</t>
  </si>
  <si>
    <t>VĚKOVÁ STRUKTURA POHLEDÁVEK</t>
  </si>
  <si>
    <t>Kategorie (tis. Kč)</t>
  </si>
  <si>
    <t>Ve splatnosti</t>
  </si>
  <si>
    <t>Po splatnosti do 30 dní</t>
  </si>
  <si>
    <t>Po splatnosti 30–90 dní</t>
  </si>
  <si>
    <t>Po splatnosti 91–180 dní</t>
  </si>
  <si>
    <t>Po splatnosti 181–360 dní</t>
  </si>
  <si>
    <t>Po splatnosti více než 360 dní</t>
  </si>
  <si>
    <t>Celkem po splatnosti</t>
  </si>
  <si>
    <t>Celkem brutto</t>
  </si>
  <si>
    <t>Kontrola vůči brutto</t>
  </si>
  <si>
    <t>OP / brutto</t>
  </si>
  <si>
    <t>Po splatnosti / brutto</t>
  </si>
  <si>
    <t>Po splatnosti do 360 dní / brutto</t>
  </si>
  <si>
    <t>OP / pohledávky přes 90 dní</t>
  </si>
  <si>
    <t>Pohledávky více než 90 dní</t>
  </si>
  <si>
    <t>Výroční zpráva Kofola 2025, pozn. 4.15, B-49; 4.26.3, B-66</t>
  </si>
  <si>
    <t>DLOUHODOBÝ HMOTNÝ MAJETEK</t>
  </si>
  <si>
    <t>Čistá účetní hodnota DHM</t>
  </si>
  <si>
    <t>PŘÍRŮSTKY 2025</t>
  </si>
  <si>
    <t>Přírůstky – additions</t>
  </si>
  <si>
    <t>Akvizice dceřiných společností</t>
  </si>
  <si>
    <t>Leasingové přírůstky</t>
  </si>
  <si>
    <t>Součet hlavních přírůstků</t>
  </si>
  <si>
    <t>POZEMKY – ODPISY</t>
  </si>
  <si>
    <t>Odpisy vykázané v kategorii Land (tis. Kč)</t>
  </si>
  <si>
    <t>Oprávky – pozemky na konci roku (tis. Kč)</t>
  </si>
  <si>
    <t>Odpisy pozemků / zisk před daní</t>
  </si>
  <si>
    <t>Odpisy pozemků / DHM netto</t>
  </si>
  <si>
    <t>Výroční zpráva Kofola 2025, pozn. 4.10, B-38 až B-41; účetní zásada „Land is not depreciated“: B-15</t>
  </si>
  <si>
    <t>KONSOLIDOVANÁ ROZVAHA</t>
  </si>
  <si>
    <t>Dlouhodobá aktiva</t>
  </si>
  <si>
    <t>Oběžná aktiva</t>
  </si>
  <si>
    <t>Aktiva celkem</t>
  </si>
  <si>
    <t>Vlastní kapitál</t>
  </si>
  <si>
    <t>Dlouhodobé závazky</t>
  </si>
  <si>
    <t>Krátkodobé závazky</t>
  </si>
  <si>
    <t>Pasiva celkem</t>
  </si>
  <si>
    <t>Bilanční rozdíl</t>
  </si>
  <si>
    <t>Peníze a peněžní ekvivalenty</t>
  </si>
  <si>
    <t>UKAZATELE FINANČNÍ POZICE</t>
  </si>
  <si>
    <t>Podíl vlastního kapitálu na aktivech</t>
  </si>
  <si>
    <t>Podíl dlouhodobých závazků na všech závazcích</t>
  </si>
  <si>
    <t>Čistý pracovní kapitál</t>
  </si>
  <si>
    <t>Běžná likvidita</t>
  </si>
  <si>
    <t>Okamžitá likvidita</t>
  </si>
  <si>
    <t>Pohotová likvidita (bez zásob)</t>
  </si>
  <si>
    <t>Výroční zpráva Kofola 2025, konsolidovaná rozvaha B-3</t>
  </si>
  <si>
    <t>KONSOLIDOVANÉ PENĚŽNÍ TOKY</t>
  </si>
  <si>
    <t>Provozní CF</t>
  </si>
  <si>
    <t>Investiční CF</t>
  </si>
  <si>
    <t>Finanční CF</t>
  </si>
  <si>
    <t>Kurzové vlivy</t>
  </si>
  <si>
    <t>Čistá změna hotovosti vč. kurzů</t>
  </si>
  <si>
    <t>Peníze na začátku období</t>
  </si>
  <si>
    <t>Vypočtená konečná hotovost</t>
  </si>
  <si>
    <t>Peníze na konci období</t>
  </si>
  <si>
    <t>Kontrola hotovosti</t>
  </si>
  <si>
    <t>Pořízení DHM a nehmotných aktiv (výdaj)</t>
  </si>
  <si>
    <t>Akvizice dceřiných společností (výdaj)</t>
  </si>
  <si>
    <t>Splátky bankovních úvěrů (výdaj)</t>
  </si>
  <si>
    <t>Zaplacené úroky (výdaj)</t>
  </si>
  <si>
    <t>Splátky leasingu (výdaj)</t>
  </si>
  <si>
    <t>ODVOZENÉ UKAZATELE</t>
  </si>
  <si>
    <t>FCF = CFO − výdaje na DHM a NA</t>
  </si>
  <si>
    <t>FCF po akvizicích (zjednodušeně)</t>
  </si>
  <si>
    <t>Krytí investičního CF provozním CF</t>
  </si>
  <si>
    <t>CFO / pořízení DHM a NA</t>
  </si>
  <si>
    <t>CAPEX / tržby</t>
  </si>
  <si>
    <t>Dluhová služba (úvěry + úroky + leasing)</t>
  </si>
  <si>
    <t>Zjednodušený DSCR = CFO / dluhová služba</t>
  </si>
  <si>
    <t>Výroční zpráva Kofola 2025, výkaz peněžních toků B-4</t>
  </si>
  <si>
    <t>SMLUVNÍ TOKY Z FINANČNÍCH ZÁVAZKŮ K 31. 12. 2025</t>
  </si>
  <si>
    <t>Do 3 měs.</t>
  </si>
  <si>
    <t>3–12 měs.</t>
  </si>
  <si>
    <t>1–2 roky</t>
  </si>
  <si>
    <t>2–5 let</t>
  </si>
  <si>
    <t>Nad 5 let</t>
  </si>
  <si>
    <t>Smluvní toky</t>
  </si>
  <si>
    <t>Účetní hodnota</t>
  </si>
  <si>
    <t>Obchodní závazky</t>
  </si>
  <si>
    <t>Bankovní úvěry</t>
  </si>
  <si>
    <t>Leasing</t>
  </si>
  <si>
    <t>Přijaté zálohy</t>
  </si>
  <si>
    <t>Ostatní závazky</t>
  </si>
  <si>
    <t>Celkem</t>
  </si>
  <si>
    <t>SMLUVNÍ TOKY Z FINANČNÍCH ZÁVAZKŮ K 31. 12. 2024</t>
  </si>
  <si>
    <t>SROVNÁNÍ SPLATNOSTI A ZADLUŽENÍ</t>
  </si>
  <si>
    <t>Smluvní platby úvěrů do 12 měsíců</t>
  </si>
  <si>
    <t>Smluvní platby úvěrů v pásmu 1–2 roky</t>
  </si>
  <si>
    <t>Bankovní úvěry – účetní hodnota</t>
  </si>
  <si>
    <t>Leasing – účetní hodnota</t>
  </si>
  <si>
    <t>Hotovost</t>
  </si>
  <si>
    <t>Čistý dluh</t>
  </si>
  <si>
    <t>Adjusted EBITDA</t>
  </si>
  <si>
    <t>Čistý dluh / adjusted EBITDA</t>
  </si>
  <si>
    <t>Nevyčerpané úvěrové linky</t>
  </si>
  <si>
    <t>Výroční zpráva Kofola 2025, 4.19 B-53 až B-54, 4.26.4 B-67 až B-68, 4.27 B-68</t>
  </si>
  <si>
    <t>SOUHRN VÝPOČTŮ PRO MEMORANDUM</t>
  </si>
  <si>
    <t>Změna / rozdíl</t>
  </si>
  <si>
    <t>Zdrojový list</t>
  </si>
  <si>
    <t>OP / zásoby brutto</t>
  </si>
  <si>
    <t>Pohledávky po splatnosti / brutto</t>
  </si>
  <si>
    <t>OP / brutto pohledávky</t>
  </si>
  <si>
    <t>DHM netto</t>
  </si>
  <si>
    <t>Odpisy v kategorii Land</t>
  </si>
  <si>
    <t>Pracovní kapitál</t>
  </si>
  <si>
    <t>Free cash flow</t>
  </si>
  <si>
    <t>Zjednodušený DSCR</t>
  </si>
  <si>
    <t>Úvěry splatné do 12 měs. (smluvní platby)</t>
  </si>
  <si>
    <t>Závěry, možný dopad do účetních výkazů a návrhy kontrol jsou v samostatném memorandu (R01–R04).</t>
  </si>
  <si>
    <t>Výroční zpráva Kofola 2025, konsolidovaná výsledovka B-1, náklady dle druhu B-33.</t>
  </si>
  <si>
    <t>Změna (tis. Kč / p. b.)</t>
  </si>
  <si>
    <t>DSO – orientačně (průměr netto, dny)</t>
  </si>
  <si>
    <t>CFO / krátkodobý bankovní dluh (účetní hodnota)</t>
  </si>
  <si>
    <t>Krátkodobé bankovní úvěry (tis. Kč)</t>
  </si>
  <si>
    <t>Zdroj krátkodobých úvěrů: výroční zpráva 2025, konsolidovaná rozvaha B-3.</t>
  </si>
  <si>
    <t>Položka −197 tis. Kč je převzata z tabulky B-67; bez detailu nelze její charakter ověřit.</t>
  </si>
  <si>
    <t>Ukazatele vycházejí z listů 02–09; související závěry a možné účetní dopady jsou v memorandu R01–R04.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</si>
</sst>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;[Red]\(#,##0.0\);\–"/>
    <numFmt numFmtId="165" formatCode="0.00%;[Red]\(0.00%\);\–"/>
    <numFmt numFmtId="166" formatCode="0.0"/>
  </numFmts>
  <fonts count="9">
    <font>
      <sz val="11"/>
      <name val="Carlito"/>
    </font>
    <font>
      <sz val="10"/>
      <color rgb="FF750C08"/>
      <name val="Aptos"/>
    </font>
    <font>
      <b/>
      <sz val="10"/>
      <color rgb="FFFFFFFF"/>
      <name val="Aptos"/>
    </font>
    <font>
      <b/>
      <sz val="10"/>
      <color rgb="FF750C08"/>
      <name val="Aptos"/>
    </font>
    <font>
      <sz val="9"/>
      <color rgb="FF7F7F7F"/>
      <name val="Aptos"/>
    </font>
    <font>
      <sz val="10"/>
      <color theme="1"/>
      <name val="Aptos"/>
    </font>
    <font>
      <b/>
      <sz val="10"/>
      <color rgb="FFFFFFFF"/>
      <name val="Aptos"/>
    </font>
    <font>
      <sz val="10"/>
      <color rgb="FF750C08"/>
      <name val="Aptos"/>
    </font>
    <font>
      <b/>
      <sz val="10"/>
      <color rgb="FF750C08"/>
      <name val="Aptos"/>
    </font>
  </fonts>
  <fills count="7">
    <fill>
      <patternFill patternType="none"/>
    </fill>
    <fill>
      <patternFill patternType="gray125"/>
    </fill>
    <fill>
      <patternFill patternType="solid">
        <fgColor rgb="FF850C06"/>
      </patternFill>
    </fill>
    <fill>
      <patternFill patternType="solid">
        <fgColor rgb="FFE77905"/>
      </patternFill>
    </fill>
    <fill>
      <patternFill patternType="solid">
        <fgColor rgb="FFEFEFEF"/>
      </patternFill>
    </fill>
    <fill>
      <patternFill patternType="solid">
        <fgColor theme="0"/>
      </patternFill>
    </fill>
    <fill>
      <patternFill patternType="solid">
        <fgColor theme="0" tint="-4.9989318521683403E-2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3" borderId="0" xfId="0" applyFont="1" applyFill="1" applyAlignment="1">
      <alignment horizontal="left"/>
    </xf>
    <xf numFmtId="0" fontId="6" fillId="3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left"/>
    </xf>
    <xf numFmtId="0" fontId="3" fillId="4" borderId="0" xfId="0" applyFont="1" applyFill="1" applyAlignment="1">
      <alignment horizontal="left"/>
    </xf>
    <xf numFmtId="164" fontId="3" fillId="4" borderId="0" xfId="0" applyNumberFormat="1" applyFont="1" applyFill="1" applyAlignment="1">
      <alignment horizontal="left"/>
    </xf>
    <xf numFmtId="165" fontId="3" fillId="4" borderId="0" xfId="0" applyNumberFormat="1" applyFont="1" applyFill="1" applyAlignment="1">
      <alignment horizontal="left"/>
    </xf>
    <xf numFmtId="0" fontId="4" fillId="0" borderId="0" xfId="0" applyFont="1" applyAlignment="1">
      <alignment horizontal="left"/>
    </xf>
    <xf numFmtId="164" fontId="3" fillId="5" borderId="0" xfId="0" applyNumberFormat="1" applyFont="1" applyFill="1" applyAlignment="1">
      <alignment horizontal="left"/>
    </xf>
    <xf numFmtId="166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64" fontId="1" fillId="5" borderId="0" xfId="0" applyNumberFormat="1" applyFont="1" applyFill="1" applyAlignment="1">
      <alignment horizontal="left"/>
    </xf>
    <xf numFmtId="2" fontId="1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164" fontId="5" fillId="0" borderId="0" xfId="0" applyNumberFormat="1" applyFont="1" applyAlignment="1">
      <alignment horizontal="left"/>
    </xf>
    <xf numFmtId="0" fontId="1" fillId="5" borderId="0" xfId="0" applyFont="1" applyFill="1" applyAlignment="1">
      <alignment horizontal="left"/>
    </xf>
    <xf numFmtId="0" fontId="7" fillId="0" borderId="0" xfId="0" applyFont="1" applyAlignment="1">
      <alignment horizontal="left"/>
    </xf>
    <xf numFmtId="164" fontId="7" fillId="0" borderId="0" xfId="0" applyNumberFormat="1" applyFont="1" applyAlignment="1">
      <alignment horizontal="left"/>
    </xf>
    <xf numFmtId="0" fontId="8" fillId="4" borderId="0" xfId="0" applyFont="1" applyFill="1" applyAlignment="1">
      <alignment horizontal="left"/>
    </xf>
    <xf numFmtId="164" fontId="8" fillId="4" borderId="0" xfId="0" applyNumberFormat="1" applyFont="1" applyFill="1" applyAlignment="1">
      <alignment horizontal="left"/>
    </xf>
    <xf numFmtId="165" fontId="7" fillId="0" borderId="0" xfId="0" applyNumberFormat="1" applyFont="1" applyAlignment="1">
      <alignment horizontal="left"/>
    </xf>
    <xf numFmtId="164" fontId="7" fillId="6" borderId="0" xfId="0" applyNumberFormat="1" applyFont="1" applyFill="1" applyAlignment="1">
      <alignment horizontal="left"/>
    </xf>
    <xf numFmtId="0" fontId="3" fillId="6" borderId="0" xfId="0" applyFont="1" applyFill="1" applyAlignment="1">
      <alignment horizontal="left"/>
    </xf>
    <xf numFmtId="164" fontId="3" fillId="6" borderId="0" xfId="0" applyNumberFormat="1" applyFont="1" applyFill="1" applyAlignment="1">
      <alignment horizontal="left"/>
    </xf>
    <xf numFmtId="164" fontId="1" fillId="6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25"/>
  <sheetViews>
    <sheetView showGridLines="0" tabSelected="1" workbookViewId="0"/>
  </sheetViews>
  <sheetFormatPr defaultRowHeight="14.25"/>
  <cols>
    <col min="1" max="1" width="2.5" style="13" customWidth="1"/>
    <col min="2" max="2" width="70" style="13" customWidth="1"/>
    <col min="3" max="3" width="46.25" style="13" customWidth="1"/>
    <col min="4" max="10" width="16.625" style="13" customWidth="1"/>
    <col min="11" max="11" width="23.75" style="13" customWidth="1"/>
    <col min="12" max="16384" width="9" style="13"/>
  </cols>
  <sheetData>
    <row r="1" spans="2:11" ht="15" customHeight="1"/>
    <row r="2" spans="2:11" ht="21.75" customHeight="1">
      <c r="B2" s="3" t="s">
        <v>0</v>
      </c>
      <c r="C2" s="3"/>
      <c r="D2" s="3"/>
      <c r="E2" s="3"/>
      <c r="F2" s="3"/>
      <c r="G2" s="3"/>
      <c r="H2" s="3"/>
      <c r="I2" s="4"/>
      <c r="J2" s="4"/>
      <c r="K2" s="4"/>
    </row>
    <row r="3" spans="2:11" ht="15">
      <c r="B3" s="4"/>
      <c r="C3" s="4"/>
      <c r="D3" s="4"/>
      <c r="E3" s="4"/>
      <c r="F3" s="4"/>
      <c r="G3" s="4"/>
      <c r="H3" s="4"/>
      <c r="I3" s="4"/>
      <c r="J3" s="4"/>
      <c r="K3" s="4"/>
    </row>
    <row r="4" spans="2:11" ht="15">
      <c r="B4" s="16" t="s">
        <v>1</v>
      </c>
      <c r="C4" s="4"/>
      <c r="D4" s="4"/>
      <c r="E4" s="4"/>
      <c r="F4" s="4"/>
      <c r="G4" s="4"/>
      <c r="H4" s="4"/>
      <c r="I4" s="4"/>
      <c r="J4" s="4"/>
      <c r="K4" s="4"/>
    </row>
    <row r="5" spans="2:11" ht="15">
      <c r="B5" s="16" t="s">
        <v>2</v>
      </c>
      <c r="C5" s="4"/>
      <c r="D5" s="4"/>
      <c r="E5" s="4"/>
      <c r="F5" s="4"/>
      <c r="G5" s="4"/>
      <c r="H5" s="4"/>
      <c r="I5" s="4"/>
      <c r="J5" s="4"/>
      <c r="K5" s="4"/>
    </row>
    <row r="6" spans="2:11" ht="15">
      <c r="B6" s="16"/>
      <c r="C6" s="4"/>
      <c r="D6" s="4"/>
      <c r="E6" s="4"/>
      <c r="F6" s="4"/>
      <c r="G6" s="4"/>
      <c r="H6" s="4"/>
      <c r="I6" s="4"/>
      <c r="J6" s="4"/>
      <c r="K6" s="4"/>
    </row>
    <row r="7" spans="2:11" ht="15">
      <c r="B7" s="16" t="s">
        <v>3</v>
      </c>
      <c r="C7" s="4"/>
      <c r="D7" s="4"/>
      <c r="E7" s="4"/>
      <c r="F7" s="4"/>
      <c r="G7" s="4"/>
      <c r="H7" s="4"/>
      <c r="I7" s="4"/>
      <c r="J7" s="4"/>
      <c r="K7" s="4"/>
    </row>
    <row r="8" spans="2:11" ht="15">
      <c r="B8" s="16" t="s">
        <v>197</v>
      </c>
      <c r="C8" s="4"/>
      <c r="D8" s="4"/>
      <c r="E8" s="4"/>
      <c r="F8" s="4"/>
      <c r="G8" s="4"/>
      <c r="H8" s="4"/>
      <c r="I8" s="4"/>
      <c r="J8" s="4"/>
      <c r="K8" s="4"/>
    </row>
    <row r="9" spans="2:11" ht="15">
      <c r="B9" s="16"/>
      <c r="C9" s="4"/>
      <c r="D9" s="4"/>
      <c r="E9" s="4"/>
      <c r="F9" s="4"/>
      <c r="G9" s="4"/>
      <c r="H9" s="4"/>
      <c r="I9" s="4"/>
      <c r="J9" s="4"/>
      <c r="K9" s="4"/>
    </row>
    <row r="10" spans="2:11" ht="15">
      <c r="B10" s="16" t="s">
        <v>4</v>
      </c>
      <c r="C10" s="4"/>
      <c r="D10" s="4"/>
      <c r="E10" s="4"/>
      <c r="F10" s="4"/>
      <c r="G10" s="4"/>
      <c r="H10" s="4"/>
      <c r="I10" s="4"/>
      <c r="J10" s="4"/>
      <c r="K10" s="4"/>
    </row>
    <row r="11" spans="2:11" ht="15">
      <c r="B11" s="16" t="s">
        <v>5</v>
      </c>
      <c r="C11" s="4"/>
      <c r="D11" s="4"/>
      <c r="E11" s="4"/>
      <c r="F11" s="4"/>
      <c r="G11" s="4"/>
      <c r="H11" s="4"/>
      <c r="I11" s="4"/>
      <c r="J11" s="4"/>
      <c r="K11" s="4"/>
    </row>
    <row r="12" spans="2:11" ht="15">
      <c r="B12" s="16" t="s">
        <v>6</v>
      </c>
      <c r="C12" s="4"/>
      <c r="D12" s="4"/>
      <c r="E12" s="4"/>
      <c r="F12" s="4"/>
      <c r="G12" s="4"/>
      <c r="H12" s="4"/>
      <c r="I12" s="4"/>
      <c r="J12" s="4"/>
      <c r="K12" s="4"/>
    </row>
    <row r="13" spans="2:11" ht="15">
      <c r="B13" s="16"/>
      <c r="C13" s="4"/>
      <c r="D13" s="4"/>
      <c r="E13" s="4"/>
      <c r="F13" s="4"/>
      <c r="G13" s="4"/>
      <c r="H13" s="4"/>
      <c r="I13" s="4"/>
      <c r="J13" s="4"/>
      <c r="K13" s="4"/>
    </row>
    <row r="14" spans="2:11" ht="15">
      <c r="B14" s="16" t="s">
        <v>7</v>
      </c>
      <c r="C14" s="4"/>
      <c r="D14" s="4"/>
      <c r="E14" s="4"/>
      <c r="F14" s="4"/>
      <c r="G14" s="4"/>
      <c r="H14" s="4"/>
      <c r="I14" s="4"/>
      <c r="J14" s="4"/>
      <c r="K14" s="4"/>
    </row>
    <row r="15" spans="2:11" ht="15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2:11" ht="15"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2:11" ht="21.75" customHeight="1">
      <c r="B17" s="3" t="s">
        <v>8</v>
      </c>
      <c r="C17" s="3"/>
      <c r="D17" s="3"/>
      <c r="E17" s="4"/>
      <c r="F17" s="4"/>
      <c r="G17" s="4"/>
      <c r="H17" s="4"/>
      <c r="I17" s="4"/>
      <c r="J17" s="4"/>
      <c r="K17" s="4"/>
    </row>
    <row r="18" spans="2:11" ht="18.75" customHeight="1">
      <c r="B18" s="1" t="s">
        <v>9</v>
      </c>
      <c r="C18" s="1" t="s">
        <v>10</v>
      </c>
      <c r="D18" s="4"/>
      <c r="E18" s="4"/>
      <c r="F18" s="4"/>
      <c r="G18" s="4"/>
      <c r="H18" s="4"/>
      <c r="I18" s="4"/>
      <c r="J18" s="4"/>
      <c r="K18" s="4"/>
    </row>
    <row r="19" spans="2:11" ht="15">
      <c r="B19" s="16" t="s">
        <v>11</v>
      </c>
      <c r="C19" s="17" t="s">
        <v>12</v>
      </c>
      <c r="D19" s="5"/>
      <c r="E19" s="5"/>
      <c r="F19" s="5"/>
      <c r="G19" s="5"/>
      <c r="H19" s="5"/>
      <c r="I19" s="5"/>
      <c r="J19" s="5"/>
      <c r="K19" s="4"/>
    </row>
    <row r="20" spans="2:11" ht="15">
      <c r="B20" s="16" t="s">
        <v>13</v>
      </c>
      <c r="C20" s="17" t="s">
        <v>14</v>
      </c>
      <c r="D20" s="5"/>
      <c r="E20" s="5"/>
      <c r="F20" s="5"/>
      <c r="G20" s="5"/>
      <c r="H20" s="5"/>
      <c r="I20" s="5"/>
      <c r="J20" s="5"/>
      <c r="K20" s="4"/>
    </row>
    <row r="21" spans="2:11" ht="15">
      <c r="B21" s="16" t="s">
        <v>15</v>
      </c>
      <c r="C21" s="17" t="s">
        <v>16</v>
      </c>
      <c r="D21" s="5"/>
      <c r="E21" s="5"/>
      <c r="F21" s="5"/>
      <c r="G21" s="5"/>
      <c r="H21" s="5"/>
      <c r="I21" s="5"/>
      <c r="J21" s="5"/>
      <c r="K21" s="4"/>
    </row>
    <row r="22" spans="2:11" ht="15">
      <c r="B22" s="16" t="s">
        <v>17</v>
      </c>
      <c r="C22" s="17" t="s">
        <v>18</v>
      </c>
      <c r="D22" s="5"/>
      <c r="E22" s="5"/>
      <c r="F22" s="5"/>
      <c r="G22" s="5"/>
      <c r="H22" s="5"/>
      <c r="I22" s="5"/>
      <c r="J22" s="5"/>
      <c r="K22" s="4"/>
    </row>
    <row r="23" spans="2:11" ht="15">
      <c r="B23" s="16" t="s">
        <v>19</v>
      </c>
      <c r="C23" s="17" t="s">
        <v>20</v>
      </c>
      <c r="D23" s="5"/>
      <c r="E23" s="5"/>
      <c r="F23" s="5"/>
      <c r="G23" s="5"/>
      <c r="H23" s="5"/>
      <c r="I23" s="5"/>
      <c r="J23" s="5"/>
      <c r="K23" s="4"/>
    </row>
    <row r="24" spans="2:11" ht="15">
      <c r="B24" s="16" t="s">
        <v>21</v>
      </c>
      <c r="C24" s="17" t="s">
        <v>22</v>
      </c>
      <c r="D24" s="5"/>
      <c r="E24" s="5"/>
      <c r="F24" s="5"/>
      <c r="G24" s="5"/>
      <c r="H24" s="5"/>
      <c r="I24" s="5"/>
      <c r="J24" s="5"/>
      <c r="K24" s="4"/>
    </row>
    <row r="25" spans="2:11" ht="15">
      <c r="B25" s="16" t="s">
        <v>23</v>
      </c>
      <c r="C25" s="17" t="s">
        <v>24</v>
      </c>
      <c r="D25" s="5"/>
      <c r="E25" s="5"/>
      <c r="F25" s="5"/>
      <c r="G25" s="5"/>
      <c r="H25" s="5"/>
      <c r="I25" s="5"/>
      <c r="J25" s="5"/>
      <c r="K25" s="4"/>
    </row>
    <row r="26" spans="2:11" ht="15">
      <c r="B26" s="16" t="s">
        <v>25</v>
      </c>
      <c r="C26" s="17" t="s">
        <v>26</v>
      </c>
      <c r="D26" s="5"/>
      <c r="E26" s="5"/>
      <c r="F26" s="5"/>
      <c r="G26" s="5"/>
      <c r="H26" s="5"/>
      <c r="I26" s="5"/>
      <c r="J26" s="5"/>
      <c r="K26" s="4"/>
    </row>
    <row r="27" spans="2:11" ht="15">
      <c r="B27" s="16" t="s">
        <v>27</v>
      </c>
      <c r="C27" s="17" t="s">
        <v>28</v>
      </c>
      <c r="D27" s="5"/>
      <c r="E27" s="5"/>
      <c r="F27" s="5"/>
      <c r="G27" s="5"/>
      <c r="H27" s="5"/>
      <c r="I27" s="5"/>
      <c r="J27" s="5"/>
      <c r="K27" s="4"/>
    </row>
    <row r="28" spans="2:11" ht="15"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2:11" ht="15"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2:11" ht="15"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2:11" ht="15"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2:11" ht="15"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2:11" ht="15"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2:11" ht="15"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2:11" ht="15"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2:11" ht="15"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2:11" ht="15"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2:11" ht="15"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2:11" ht="15"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2:11" ht="15"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2:11" ht="15"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2:11" ht="15"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2:11" ht="15"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2:11" ht="15"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2:11" ht="1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2:11" ht="15"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2:11" ht="15"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2:11" ht="15"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2:11" ht="15"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2:11" ht="15"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2:11" ht="15"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2:11" ht="15"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2:11" ht="15"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2:11" ht="15"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2:11" ht="15"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2:11" ht="15"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2:11" ht="15"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2:11" ht="15"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2:11" ht="15"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2:11" ht="15"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2:11" ht="15"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2:11" ht="15"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2:11" ht="15"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2:11" ht="15"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2:11" ht="15"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2:11" ht="15"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2:11" ht="15"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2:11" ht="15"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2:11" ht="15"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2:11" ht="15"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2:11" ht="15"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2:11" ht="15"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2:11" ht="15"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2:11" ht="15"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2:11" ht="15"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2:11" ht="15"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2:11" ht="15"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2:11" ht="15"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2:11" ht="15"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2:11" ht="15"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2:11" ht="15"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2:11" ht="15"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2:11" ht="15"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2:11" ht="15"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2:11" ht="15"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2:11" ht="15"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2:11" ht="15"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2:11" ht="15"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2:11" ht="15"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2:11" ht="15"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2:11" ht="15"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2:11" ht="15"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2:11" ht="15"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2:11" ht="15"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2:11" ht="15"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2:11" ht="15"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2:11" ht="15"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2:11" ht="15"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2:11" ht="15"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2:11" ht="15"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spans="2:11" ht="15"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spans="2:11" ht="15"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spans="2:11" ht="15"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2:11" ht="15"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2:11" ht="15"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2:11" ht="15"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2:11" ht="15"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2:11" ht="15"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2:11" ht="15"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2:11" ht="15"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2:11" ht="15"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2:11" ht="15"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2:11" ht="15"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2:11" ht="15"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2:11" ht="15"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2:11" ht="15"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2:11" ht="15"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2:11" ht="15"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2:11" ht="15"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2:11" ht="15"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2:11" ht="15"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2:11" ht="15"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2:11" ht="15"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2:11" ht="15"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2:11" ht="15">
      <c r="B125" s="4"/>
      <c r="C125" s="4"/>
      <c r="D125" s="4"/>
      <c r="E125" s="4"/>
      <c r="F125" s="4"/>
      <c r="G125" s="4"/>
      <c r="H125" s="4"/>
      <c r="I125" s="4"/>
      <c r="J125" s="4"/>
      <c r="K125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125"/>
  <sheetViews>
    <sheetView showGridLines="0" topLeftCell="A8" workbookViewId="0"/>
  </sheetViews>
  <sheetFormatPr defaultRowHeight="14.25"/>
  <cols>
    <col min="1" max="1" width="2.5" style="13" customWidth="1"/>
    <col min="2" max="2" width="42.5" style="13" customWidth="1"/>
    <col min="3" max="10" width="16.625" style="13" customWidth="1"/>
    <col min="11" max="11" width="23.75" style="13" customWidth="1"/>
    <col min="12" max="16384" width="9" style="13"/>
  </cols>
  <sheetData>
    <row r="1" spans="2:11" ht="15" customHeight="1"/>
    <row r="2" spans="2:11" ht="21.75" customHeight="1">
      <c r="B2" s="3" t="s">
        <v>29</v>
      </c>
      <c r="C2" s="3"/>
      <c r="D2" s="3"/>
      <c r="E2" s="3"/>
      <c r="F2" s="3"/>
      <c r="G2" s="4"/>
      <c r="H2" s="4"/>
      <c r="I2" s="4"/>
      <c r="J2" s="4"/>
      <c r="K2" s="4"/>
    </row>
    <row r="3" spans="2:11" ht="18.75" customHeight="1"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G3" s="4"/>
      <c r="H3" s="4"/>
      <c r="I3" s="4"/>
      <c r="J3" s="4"/>
      <c r="K3" s="4"/>
    </row>
    <row r="4" spans="2:11" ht="15">
      <c r="B4" s="4" t="s">
        <v>35</v>
      </c>
      <c r="C4" s="5">
        <v>11081953</v>
      </c>
      <c r="D4" s="5">
        <v>10754328</v>
      </c>
      <c r="E4" s="5">
        <f t="shared" ref="E4:E11" si="0">D4-C4</f>
        <v>-327625</v>
      </c>
      <c r="F4" s="6">
        <f t="shared" ref="F4:F11" si="1">IFERROR(E4/C4,0)</f>
        <v>-2.9563832295625148E-2</v>
      </c>
      <c r="G4" s="5"/>
      <c r="H4" s="5"/>
      <c r="I4" s="5"/>
      <c r="J4" s="5"/>
      <c r="K4" s="4"/>
    </row>
    <row r="5" spans="2:11" ht="15">
      <c r="B5" s="4" t="s">
        <v>36</v>
      </c>
      <c r="C5" s="5">
        <v>6037140</v>
      </c>
      <c r="D5" s="5">
        <v>5675000</v>
      </c>
      <c r="E5" s="5">
        <f t="shared" si="0"/>
        <v>-362140</v>
      </c>
      <c r="F5" s="6">
        <f t="shared" si="1"/>
        <v>-5.9985357304949034E-2</v>
      </c>
      <c r="G5" s="5"/>
      <c r="H5" s="5"/>
      <c r="I5" s="5"/>
      <c r="J5" s="5"/>
      <c r="K5" s="4"/>
    </row>
    <row r="6" spans="2:11" ht="15">
      <c r="B6" s="7" t="s">
        <v>37</v>
      </c>
      <c r="C6" s="8">
        <v>5044813</v>
      </c>
      <c r="D6" s="8">
        <v>5079328</v>
      </c>
      <c r="E6" s="8">
        <f t="shared" si="0"/>
        <v>34515</v>
      </c>
      <c r="F6" s="9">
        <f t="shared" si="1"/>
        <v>6.8416807520913061E-3</v>
      </c>
      <c r="G6" s="11"/>
      <c r="H6" s="11"/>
      <c r="I6" s="5"/>
      <c r="J6" s="5"/>
      <c r="K6" s="4"/>
    </row>
    <row r="7" spans="2:11" ht="15">
      <c r="B7" s="4" t="s">
        <v>38</v>
      </c>
      <c r="C7" s="5">
        <v>3201001</v>
      </c>
      <c r="D7" s="5">
        <v>3356442</v>
      </c>
      <c r="E7" s="5">
        <f t="shared" si="0"/>
        <v>155441</v>
      </c>
      <c r="F7" s="6">
        <f t="shared" si="1"/>
        <v>4.8560122286747179E-2</v>
      </c>
      <c r="G7" s="14"/>
      <c r="H7" s="14"/>
      <c r="I7" s="5"/>
      <c r="J7" s="5"/>
      <c r="K7" s="4"/>
    </row>
    <row r="8" spans="2:11" ht="15">
      <c r="B8" s="4" t="s">
        <v>39</v>
      </c>
      <c r="C8" s="5">
        <v>705866</v>
      </c>
      <c r="D8" s="5">
        <v>606820</v>
      </c>
      <c r="E8" s="5">
        <f t="shared" si="0"/>
        <v>-99046</v>
      </c>
      <c r="F8" s="6">
        <f t="shared" si="1"/>
        <v>-0.14031841737666922</v>
      </c>
      <c r="G8" s="14"/>
      <c r="H8" s="14"/>
      <c r="I8" s="5"/>
      <c r="J8" s="5"/>
      <c r="K8" s="4"/>
    </row>
    <row r="9" spans="2:11" ht="15">
      <c r="B9" s="7" t="s">
        <v>40</v>
      </c>
      <c r="C9" s="8">
        <v>1243056</v>
      </c>
      <c r="D9" s="8">
        <v>1164584</v>
      </c>
      <c r="E9" s="8">
        <f t="shared" si="0"/>
        <v>-78472</v>
      </c>
      <c r="F9" s="9">
        <f t="shared" si="1"/>
        <v>-6.3128290278153198E-2</v>
      </c>
      <c r="G9" s="11"/>
      <c r="H9" s="11"/>
      <c r="I9" s="5"/>
      <c r="J9" s="5"/>
      <c r="K9" s="4"/>
    </row>
    <row r="10" spans="2:11" ht="15">
      <c r="B10" s="7" t="s">
        <v>41</v>
      </c>
      <c r="C10" s="8">
        <v>927301</v>
      </c>
      <c r="D10" s="8">
        <v>932910</v>
      </c>
      <c r="E10" s="8">
        <f t="shared" si="0"/>
        <v>5609</v>
      </c>
      <c r="F10" s="9">
        <f t="shared" si="1"/>
        <v>6.048737141445981E-3</v>
      </c>
      <c r="G10" s="11"/>
      <c r="H10" s="11"/>
      <c r="I10" s="5"/>
      <c r="J10" s="5"/>
      <c r="K10" s="4"/>
    </row>
    <row r="11" spans="2:11" ht="15">
      <c r="B11" s="7" t="s">
        <v>42</v>
      </c>
      <c r="C11" s="8">
        <v>653152</v>
      </c>
      <c r="D11" s="8">
        <v>681589</v>
      </c>
      <c r="E11" s="8">
        <f t="shared" si="0"/>
        <v>28437</v>
      </c>
      <c r="F11" s="9">
        <f t="shared" si="1"/>
        <v>4.3538104453480969E-2</v>
      </c>
      <c r="G11" s="11"/>
      <c r="H11" s="11"/>
      <c r="I11" s="5"/>
      <c r="J11" s="5"/>
      <c r="K11" s="4"/>
    </row>
    <row r="12" spans="2:11" ht="15"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2:11" ht="15"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2:11" ht="21.75" customHeight="1">
      <c r="B14" s="3" t="s">
        <v>43</v>
      </c>
      <c r="C14" s="3"/>
      <c r="D14" s="3"/>
      <c r="E14" s="3"/>
      <c r="F14" s="3"/>
      <c r="G14" s="4"/>
      <c r="H14" s="4"/>
      <c r="I14" s="4"/>
      <c r="J14" s="4"/>
      <c r="K14" s="4"/>
    </row>
    <row r="15" spans="2:11" ht="18.75" customHeight="1">
      <c r="B15" s="1" t="s">
        <v>44</v>
      </c>
      <c r="C15" s="1">
        <v>2024</v>
      </c>
      <c r="D15" s="1">
        <v>2025</v>
      </c>
      <c r="E15" s="1" t="s">
        <v>45</v>
      </c>
      <c r="F15" s="4"/>
      <c r="G15" s="4"/>
      <c r="H15" s="4"/>
      <c r="I15" s="4"/>
      <c r="J15" s="4"/>
      <c r="K15" s="4"/>
    </row>
    <row r="16" spans="2:11" ht="15">
      <c r="B16" s="4" t="s">
        <v>46</v>
      </c>
      <c r="C16" s="6">
        <f>C6/C4</f>
        <v>0.45522779242972788</v>
      </c>
      <c r="D16" s="6">
        <f>D6/D4</f>
        <v>0.47230547552576041</v>
      </c>
      <c r="E16" s="5">
        <f>(D16-C16)*100</f>
        <v>1.7077683096032525</v>
      </c>
      <c r="F16" s="5"/>
      <c r="G16" s="5"/>
      <c r="H16" s="5"/>
      <c r="I16" s="5"/>
      <c r="J16" s="5"/>
      <c r="K16" s="4"/>
    </row>
    <row r="17" spans="2:11" ht="15">
      <c r="B17" s="4" t="s">
        <v>47</v>
      </c>
      <c r="C17" s="6">
        <f>C5/C4</f>
        <v>0.54477220757027212</v>
      </c>
      <c r="D17" s="6">
        <f>D5/D4</f>
        <v>0.52769452447423959</v>
      </c>
      <c r="E17" s="5">
        <f>(D17-C17)*100</f>
        <v>-1.7077683096032525</v>
      </c>
      <c r="F17" s="5"/>
      <c r="G17" s="5"/>
      <c r="H17" s="5"/>
      <c r="I17" s="5"/>
      <c r="J17" s="5"/>
      <c r="K17" s="4"/>
    </row>
    <row r="18" spans="2:11" ht="15">
      <c r="B18" s="4" t="s">
        <v>48</v>
      </c>
      <c r="C18" s="6">
        <f>C9/C4</f>
        <v>0.11216939830010107</v>
      </c>
      <c r="D18" s="6">
        <f>D9/D4</f>
        <v>0.10828979737274147</v>
      </c>
      <c r="E18" s="5">
        <f>(D18-C18)*100</f>
        <v>-0.38796009273596027</v>
      </c>
      <c r="F18" s="5"/>
      <c r="G18" s="5"/>
      <c r="H18" s="5"/>
      <c r="I18" s="5"/>
      <c r="J18" s="5"/>
      <c r="K18" s="4"/>
    </row>
    <row r="19" spans="2:11" ht="15"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2:11" ht="15"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2:11" ht="21.75" customHeight="1">
      <c r="B21" s="3" t="s">
        <v>49</v>
      </c>
      <c r="C21" s="3"/>
      <c r="D21" s="3"/>
      <c r="E21" s="3"/>
      <c r="F21" s="3"/>
      <c r="G21" s="4"/>
      <c r="H21" s="4"/>
      <c r="I21" s="4"/>
      <c r="J21" s="4"/>
      <c r="K21" s="4"/>
    </row>
    <row r="22" spans="2:11" ht="18.75" customHeight="1">
      <c r="B22" s="1" t="s">
        <v>44</v>
      </c>
      <c r="C22" s="1">
        <v>2024</v>
      </c>
      <c r="D22" s="1">
        <v>2025</v>
      </c>
      <c r="E22" s="1" t="s">
        <v>34</v>
      </c>
      <c r="F22" s="4"/>
      <c r="G22" s="4"/>
      <c r="H22" s="4"/>
      <c r="I22" s="4"/>
      <c r="J22" s="4"/>
      <c r="K22" s="4"/>
    </row>
    <row r="23" spans="2:11" ht="15">
      <c r="B23" s="4" t="s">
        <v>50</v>
      </c>
      <c r="C23" s="5">
        <v>4687851</v>
      </c>
      <c r="D23" s="5">
        <v>4284321</v>
      </c>
      <c r="E23" s="6">
        <f>D23/C23-1</f>
        <v>-8.6079954333019515E-2</v>
      </c>
      <c r="F23" s="5"/>
      <c r="G23" s="5"/>
      <c r="H23" s="5"/>
      <c r="I23" s="5"/>
      <c r="J23" s="5"/>
      <c r="K23" s="4"/>
    </row>
    <row r="24" spans="2:11" ht="15">
      <c r="B24" s="4" t="s">
        <v>51</v>
      </c>
      <c r="C24" s="5">
        <v>2340944</v>
      </c>
      <c r="D24" s="5">
        <v>2302736</v>
      </c>
      <c r="E24" s="6">
        <f>D24/C24-1</f>
        <v>-1.6321620679520699E-2</v>
      </c>
      <c r="F24" s="5"/>
      <c r="G24" s="5"/>
      <c r="H24" s="5"/>
      <c r="I24" s="5"/>
      <c r="J24" s="5"/>
      <c r="K24" s="4"/>
    </row>
    <row r="25" spans="2:11" ht="15">
      <c r="B25" s="4" t="s">
        <v>52</v>
      </c>
      <c r="C25" s="5">
        <v>674075</v>
      </c>
      <c r="D25" s="5">
        <v>760644</v>
      </c>
      <c r="E25" s="6">
        <f>D25/C25-1</f>
        <v>0.12842636205170055</v>
      </c>
      <c r="F25" s="5"/>
      <c r="G25" s="5"/>
      <c r="H25" s="5"/>
      <c r="I25" s="5"/>
      <c r="J25" s="5"/>
      <c r="K25" s="4"/>
    </row>
    <row r="26" spans="2:11" ht="15"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2:11" ht="15"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2:11">
      <c r="B28" s="10" t="s">
        <v>198</v>
      </c>
      <c r="C28" s="10"/>
      <c r="D28" s="10"/>
      <c r="E28" s="10"/>
      <c r="F28" s="10"/>
      <c r="G28" s="10"/>
      <c r="H28" s="10"/>
      <c r="I28" s="10"/>
      <c r="J28" s="10"/>
      <c r="K28" s="10"/>
    </row>
    <row r="29" spans="2:11" ht="15"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2:11" ht="15"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2:11" ht="15"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2:11" ht="15"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2:11" ht="15"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2:11" ht="15"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2:11" ht="15"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2:11" ht="15"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2:11" ht="15"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2:11" ht="15"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2:11" ht="15"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2:11" ht="15"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2:11" ht="15"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2:11" ht="15"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2:11" ht="15"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2:11" ht="15"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2:11" ht="1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2:11" ht="15"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2:11" ht="15"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2:11" ht="15"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2:11" ht="15"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2:11" ht="15"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2:11" ht="15"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2:11" ht="15"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2:11" ht="15"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2:11" ht="15"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2:11" ht="15"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2:11" ht="15"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2:11" ht="15"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2:11" ht="15"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2:11" ht="15"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2:11" ht="15"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2:11" ht="15"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2:11" ht="15"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2:11" ht="15"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2:11" ht="15"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2:11" ht="15"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2:11" ht="15"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2:11" ht="15"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2:11" ht="15"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2:11" ht="15"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2:11" ht="15"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2:11" ht="15"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2:11" ht="15"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2:11" ht="15"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2:11" ht="15"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2:11" ht="15"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2:11" ht="15"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2:11" ht="15"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2:11" ht="15"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2:11" ht="15"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2:11" ht="15"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2:11" ht="15"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2:11" ht="15"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2:11" ht="15"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2:11" ht="15"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2:11" ht="15"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2:11" ht="15"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2:11" ht="15"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2:11" ht="15"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2:11" ht="15"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2:11" ht="15"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2:11" ht="15"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2:11" ht="15"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2:11" ht="15"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2:11" ht="15"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2:11" ht="15"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2:11" ht="15"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2:11" ht="15"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2:11" ht="15"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2:11" ht="15"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2:11" ht="15"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spans="2:11" ht="15"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spans="2:11" ht="15"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spans="2:11" ht="15"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2:11" ht="15"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2:11" ht="15"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2:11" ht="15"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2:11" ht="15"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2:11" ht="15"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2:11" ht="15"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2:11" ht="15"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2:11" ht="15"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2:11" ht="15"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2:11" ht="15"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2:11" ht="15"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2:11" ht="15"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2:11" ht="15"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2:11" ht="15"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2:11" ht="15"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2:11" ht="15"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2:11" ht="15"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2:11" ht="15"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2:11" ht="15"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2:11" ht="15"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2:11" ht="15"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2:11" ht="15">
      <c r="B125" s="4"/>
      <c r="C125" s="4"/>
      <c r="D125" s="4"/>
      <c r="E125" s="4"/>
      <c r="F125" s="4"/>
      <c r="G125" s="4"/>
      <c r="H125" s="4"/>
      <c r="I125" s="4"/>
      <c r="J125" s="4"/>
      <c r="K125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125"/>
  <sheetViews>
    <sheetView showGridLines="0" workbookViewId="0"/>
  </sheetViews>
  <sheetFormatPr defaultRowHeight="14.25"/>
  <cols>
    <col min="1" max="1" width="2.5" style="13" customWidth="1"/>
    <col min="2" max="2" width="42.5" style="13" customWidth="1"/>
    <col min="3" max="10" width="16.625" style="13" customWidth="1"/>
    <col min="11" max="11" width="23.75" style="13" customWidth="1"/>
    <col min="12" max="16384" width="9" style="13"/>
  </cols>
  <sheetData>
    <row r="1" spans="2:11" ht="15" customHeight="1"/>
    <row r="2" spans="2:11" ht="21.75" customHeight="1">
      <c r="B2" s="3" t="s">
        <v>53</v>
      </c>
      <c r="C2" s="3"/>
      <c r="D2" s="3"/>
      <c r="E2" s="3"/>
      <c r="F2" s="3"/>
      <c r="G2" s="4"/>
      <c r="H2" s="4"/>
      <c r="I2" s="4"/>
      <c r="J2" s="4"/>
      <c r="K2" s="4"/>
    </row>
    <row r="3" spans="2:11" ht="18.75" customHeight="1">
      <c r="B3" s="1" t="s">
        <v>54</v>
      </c>
      <c r="C3" s="1" t="s">
        <v>55</v>
      </c>
      <c r="D3" s="1" t="s">
        <v>56</v>
      </c>
      <c r="E3" s="1" t="s">
        <v>57</v>
      </c>
      <c r="F3" s="1" t="s">
        <v>34</v>
      </c>
      <c r="G3" s="4"/>
      <c r="H3" s="4"/>
      <c r="I3" s="4"/>
      <c r="J3" s="4"/>
      <c r="K3" s="4"/>
    </row>
    <row r="4" spans="2:11" ht="15">
      <c r="B4" s="4" t="s">
        <v>58</v>
      </c>
      <c r="C4" s="5">
        <v>6847.6</v>
      </c>
      <c r="D4" s="5">
        <v>6334.5</v>
      </c>
      <c r="E4" s="5">
        <f>D4-C4</f>
        <v>-513.10000000000036</v>
      </c>
      <c r="F4" s="6">
        <f>D4/C4-1</f>
        <v>-7.4931362813248525E-2</v>
      </c>
      <c r="G4" s="5"/>
      <c r="H4" s="5"/>
      <c r="I4" s="5"/>
      <c r="J4" s="5"/>
      <c r="K4" s="4"/>
    </row>
    <row r="5" spans="2:11" ht="15">
      <c r="B5" s="4" t="s">
        <v>59</v>
      </c>
      <c r="C5" s="5">
        <v>1681.3</v>
      </c>
      <c r="D5" s="5">
        <v>1650.8</v>
      </c>
      <c r="E5" s="5">
        <f>D5-C5</f>
        <v>-30.5</v>
      </c>
      <c r="F5" s="6">
        <f>D5/C5-1</f>
        <v>-1.8140724439421829E-2</v>
      </c>
      <c r="G5" s="5"/>
      <c r="H5" s="5"/>
      <c r="I5" s="5"/>
      <c r="J5" s="5"/>
      <c r="K5" s="4"/>
    </row>
    <row r="6" spans="2:11" ht="15">
      <c r="B6" s="4" t="s">
        <v>60</v>
      </c>
      <c r="C6" s="5">
        <v>1395.9</v>
      </c>
      <c r="D6" s="5">
        <v>1440.2</v>
      </c>
      <c r="E6" s="5">
        <f>D6-C6</f>
        <v>44.299999999999955</v>
      </c>
      <c r="F6" s="6">
        <f>D6/C6-1</f>
        <v>3.1735797693244416E-2</v>
      </c>
      <c r="G6" s="5"/>
      <c r="H6" s="5"/>
      <c r="I6" s="5"/>
      <c r="J6" s="5"/>
      <c r="K6" s="4"/>
    </row>
    <row r="7" spans="2:11" ht="15">
      <c r="B7" s="4" t="s">
        <v>61</v>
      </c>
      <c r="C7" s="5">
        <v>1157.2</v>
      </c>
      <c r="D7" s="5">
        <v>1328.8</v>
      </c>
      <c r="E7" s="5">
        <f>D7-C7</f>
        <v>171.59999999999991</v>
      </c>
      <c r="F7" s="6">
        <f>D7/C7-1</f>
        <v>0.14828897338403024</v>
      </c>
      <c r="G7" s="5"/>
      <c r="H7" s="5"/>
      <c r="I7" s="5"/>
      <c r="J7" s="5"/>
      <c r="K7" s="4"/>
    </row>
    <row r="8" spans="2:11" ht="15">
      <c r="B8" s="7" t="s">
        <v>62</v>
      </c>
      <c r="C8" s="8">
        <f>SUM(C4:C7)</f>
        <v>11082</v>
      </c>
      <c r="D8" s="8">
        <f>SUM(D4:D7)</f>
        <v>10754.3</v>
      </c>
      <c r="E8" s="8">
        <f>D8-C8</f>
        <v>-327.70000000000073</v>
      </c>
      <c r="F8" s="9">
        <f>D8/C8-1</f>
        <v>-2.9570474643566214E-2</v>
      </c>
      <c r="G8" s="11"/>
      <c r="H8" s="11"/>
      <c r="I8" s="5"/>
      <c r="J8" s="5"/>
      <c r="K8" s="4"/>
    </row>
    <row r="9" spans="2:11" ht="15">
      <c r="B9" s="4"/>
      <c r="C9" s="4"/>
      <c r="D9" s="4"/>
      <c r="E9" s="4"/>
      <c r="F9" s="4"/>
      <c r="G9" s="4"/>
      <c r="H9" s="4"/>
      <c r="I9" s="4"/>
      <c r="J9" s="4"/>
      <c r="K9" s="4"/>
    </row>
    <row r="10" spans="2:11" ht="15"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2:11" ht="21.75" customHeight="1">
      <c r="B11" s="3" t="s">
        <v>63</v>
      </c>
      <c r="C11" s="3"/>
      <c r="D11" s="3"/>
      <c r="E11" s="3"/>
      <c r="F11" s="3"/>
      <c r="G11" s="4"/>
      <c r="H11" s="4"/>
      <c r="I11" s="4"/>
      <c r="J11" s="4"/>
      <c r="K11" s="4"/>
    </row>
    <row r="12" spans="2:11" ht="18.75" customHeight="1">
      <c r="B12" s="1" t="s">
        <v>44</v>
      </c>
      <c r="C12" s="1">
        <v>2024</v>
      </c>
      <c r="D12" s="1">
        <v>2025</v>
      </c>
      <c r="E12" s="1" t="s">
        <v>199</v>
      </c>
      <c r="F12" s="4"/>
      <c r="G12" s="4"/>
      <c r="H12" s="4"/>
      <c r="I12" s="4"/>
      <c r="J12" s="4"/>
      <c r="K12" s="4"/>
    </row>
    <row r="13" spans="2:11" ht="15">
      <c r="B13" s="4" t="s">
        <v>64</v>
      </c>
      <c r="C13" s="5">
        <v>1850994</v>
      </c>
      <c r="D13" s="5">
        <v>1816444</v>
      </c>
      <c r="E13" s="5">
        <f>D13-C13</f>
        <v>-34550</v>
      </c>
      <c r="F13" s="5"/>
      <c r="G13" s="5"/>
      <c r="H13" s="5"/>
      <c r="I13" s="5"/>
      <c r="J13" s="5"/>
      <c r="K13" s="4"/>
    </row>
    <row r="14" spans="2:11" ht="15">
      <c r="B14" s="4" t="s">
        <v>65</v>
      </c>
      <c r="C14" s="5">
        <v>1917132</v>
      </c>
      <c r="D14" s="5">
        <v>1925228</v>
      </c>
      <c r="E14" s="5">
        <f>D14-C14</f>
        <v>8096</v>
      </c>
      <c r="F14" s="5"/>
      <c r="G14" s="5"/>
      <c r="H14" s="5"/>
      <c r="I14" s="5"/>
      <c r="J14" s="5"/>
      <c r="K14" s="4"/>
    </row>
    <row r="15" spans="2:11" ht="15">
      <c r="B15" s="4" t="s">
        <v>66</v>
      </c>
      <c r="C15" s="6">
        <f>C13/('02 Výsledovka'!C4)</f>
        <v>0.16702777930929683</v>
      </c>
      <c r="D15" s="6">
        <f>D13/('02 Výsledovka'!D4)</f>
        <v>0.1689035335355217</v>
      </c>
      <c r="E15" s="6">
        <f>(D15-C15)*100</f>
        <v>0.18757542262248794</v>
      </c>
      <c r="F15" s="5"/>
      <c r="G15" s="5"/>
      <c r="H15" s="5"/>
      <c r="I15" s="5"/>
      <c r="J15" s="5"/>
      <c r="K15" s="4"/>
    </row>
    <row r="16" spans="2:11" ht="15"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2:11" ht="15"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2:11">
      <c r="B18" s="10" t="s">
        <v>67</v>
      </c>
      <c r="C18" s="10"/>
      <c r="D18" s="10"/>
      <c r="E18" s="10"/>
      <c r="F18" s="10"/>
      <c r="G18" s="10"/>
      <c r="H18" s="10"/>
      <c r="I18" s="10"/>
      <c r="J18" s="10"/>
      <c r="K18" s="10"/>
    </row>
    <row r="19" spans="2:11" ht="15"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2:11" ht="15"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2:11" ht="15"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2:11" ht="15"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2:11" ht="15"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2:11" ht="15"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2:11" ht="15"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2:11" ht="15"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2:11" ht="15"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2:11" ht="15"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2:11" ht="15"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2:11" ht="15"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2:11" ht="15"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2:11" ht="15"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2:11" ht="15"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2:11" ht="15"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2:11" ht="15"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2:11" ht="15"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2:11" ht="15"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2:11" ht="15"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2:11" ht="15"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2:11" ht="15"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2:11" ht="15"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2:11" ht="15"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2:11" ht="15"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2:11" ht="15"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2:11" ht="1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2:11" ht="15"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2:11" ht="15"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2:11" ht="15"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2:11" ht="15"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2:11" ht="15"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2:11" ht="15"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2:11" ht="15"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2:11" ht="15"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2:11" ht="15"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2:11" ht="15"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2:11" ht="15"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2:11" ht="15"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2:11" ht="15"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2:11" ht="15"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2:11" ht="15"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2:11" ht="15"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2:11" ht="15"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2:11" ht="15"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2:11" ht="15"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2:11" ht="15"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2:11" ht="15"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2:11" ht="15"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2:11" ht="15"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2:11" ht="15"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2:11" ht="15"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2:11" ht="15"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2:11" ht="15"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2:11" ht="15"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2:11" ht="15"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2:11" ht="15"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2:11" ht="15"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2:11" ht="15"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2:11" ht="15"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2:11" ht="15"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2:11" ht="15"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2:11" ht="15"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2:11" ht="15"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2:11" ht="15"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2:11" ht="15"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2:11" ht="15"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2:11" ht="15"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2:11" ht="15"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2:11" ht="15"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2:11" ht="15"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2:11" ht="15"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2:11" ht="15"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2:11" ht="15"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2:11" ht="15"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2:11" ht="15"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2:11" ht="15"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2:11" ht="15"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2:11" ht="15"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2:11" ht="15"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2:11" ht="15"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2:11" ht="15"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spans="2:11" ht="15"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spans="2:11" ht="15"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spans="2:11" ht="15"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2:11" ht="15"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2:11" ht="15"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2:11" ht="15"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2:11" ht="15"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2:11" ht="15"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2:11" ht="15"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2:11" ht="15"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2:11" ht="15"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2:11" ht="15"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2:11" ht="15"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2:11" ht="15"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2:11" ht="15"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2:11" ht="15"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2:11" ht="15"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2:11" ht="15"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2:11" ht="15"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2:11" ht="15"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2:11" ht="15"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2:11" ht="15"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2:11" ht="15"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2:11" ht="15"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2:11" ht="15">
      <c r="B125" s="4"/>
      <c r="C125" s="4"/>
      <c r="D125" s="4"/>
      <c r="E125" s="4"/>
      <c r="F125" s="4"/>
      <c r="G125" s="4"/>
      <c r="H125" s="4"/>
      <c r="I125" s="4"/>
      <c r="J125" s="4"/>
      <c r="K125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125"/>
  <sheetViews>
    <sheetView showGridLines="0" workbookViewId="0"/>
  </sheetViews>
  <sheetFormatPr defaultRowHeight="14.25"/>
  <cols>
    <col min="1" max="1" width="2.5" style="13" customWidth="1"/>
    <col min="2" max="2" width="42.5" style="13" customWidth="1"/>
    <col min="3" max="10" width="16.625" style="13" customWidth="1"/>
    <col min="11" max="11" width="23.75" style="13" customWidth="1"/>
    <col min="12" max="16384" width="9" style="13"/>
  </cols>
  <sheetData>
    <row r="1" spans="2:11" ht="15" customHeight="1"/>
    <row r="2" spans="2:11" ht="21.75" customHeight="1">
      <c r="B2" s="3" t="s">
        <v>68</v>
      </c>
      <c r="C2" s="3"/>
      <c r="D2" s="3"/>
      <c r="E2" s="3"/>
      <c r="F2" s="3"/>
      <c r="G2" s="4"/>
      <c r="H2" s="4"/>
      <c r="I2" s="4"/>
      <c r="J2" s="4"/>
      <c r="K2" s="4"/>
    </row>
    <row r="3" spans="2:11" ht="18.75" customHeight="1">
      <c r="B3" s="1" t="s">
        <v>30</v>
      </c>
      <c r="C3" s="1">
        <v>2024</v>
      </c>
      <c r="D3" s="1">
        <v>2025</v>
      </c>
      <c r="E3" s="1" t="s">
        <v>33</v>
      </c>
      <c r="F3" s="1" t="s">
        <v>34</v>
      </c>
      <c r="G3" s="4"/>
      <c r="H3" s="4"/>
      <c r="I3" s="4"/>
      <c r="J3" s="4"/>
      <c r="K3" s="4"/>
    </row>
    <row r="4" spans="2:11" ht="15">
      <c r="B4" s="4" t="s">
        <v>69</v>
      </c>
      <c r="C4" s="5">
        <v>974017</v>
      </c>
      <c r="D4" s="5">
        <v>1037289</v>
      </c>
      <c r="E4" s="5">
        <f>D4-C4</f>
        <v>63272</v>
      </c>
      <c r="F4" s="6">
        <f>D4/C4-1</f>
        <v>6.4959851830101556E-2</v>
      </c>
      <c r="G4" s="5"/>
      <c r="H4" s="5"/>
      <c r="I4" s="5"/>
      <c r="J4" s="5"/>
      <c r="K4" s="4"/>
    </row>
    <row r="5" spans="2:11" ht="15">
      <c r="B5" s="4" t="s">
        <v>70</v>
      </c>
      <c r="C5" s="5">
        <v>32133</v>
      </c>
      <c r="D5" s="5">
        <v>29268</v>
      </c>
      <c r="E5" s="5">
        <f>D5-C5</f>
        <v>-2865</v>
      </c>
      <c r="F5" s="6">
        <f>D5/C5-1</f>
        <v>-8.9160675940621825E-2</v>
      </c>
      <c r="G5" s="5"/>
      <c r="H5" s="5"/>
      <c r="I5" s="5"/>
      <c r="J5" s="5"/>
      <c r="K5" s="4"/>
    </row>
    <row r="6" spans="2:11" ht="15">
      <c r="B6" s="7" t="s">
        <v>71</v>
      </c>
      <c r="C6" s="8">
        <f>C4-C5</f>
        <v>941884</v>
      </c>
      <c r="D6" s="8">
        <f>D4-D5</f>
        <v>1008021</v>
      </c>
      <c r="E6" s="8">
        <f>D6-C6</f>
        <v>66137</v>
      </c>
      <c r="F6" s="9">
        <f>D6/C6-1</f>
        <v>7.021777628667647E-2</v>
      </c>
      <c r="G6" s="11"/>
      <c r="H6" s="11"/>
      <c r="I6" s="5"/>
      <c r="J6" s="5"/>
      <c r="K6" s="4"/>
    </row>
    <row r="7" spans="2:11" ht="15">
      <c r="B7" s="4"/>
      <c r="C7" s="4"/>
      <c r="D7" s="4"/>
      <c r="E7" s="4"/>
      <c r="F7" s="4"/>
      <c r="G7" s="4"/>
      <c r="H7" s="4"/>
      <c r="I7" s="4"/>
      <c r="J7" s="4"/>
      <c r="K7" s="4"/>
    </row>
    <row r="8" spans="2:11" ht="15">
      <c r="B8" s="4"/>
      <c r="C8" s="4"/>
      <c r="D8" s="4"/>
      <c r="E8" s="4"/>
      <c r="F8" s="4"/>
      <c r="G8" s="4"/>
      <c r="H8" s="4"/>
      <c r="I8" s="4"/>
      <c r="J8" s="4"/>
      <c r="K8" s="4"/>
    </row>
    <row r="9" spans="2:11" ht="21.75" customHeight="1">
      <c r="B9" s="3" t="s">
        <v>43</v>
      </c>
      <c r="C9" s="3"/>
      <c r="D9" s="3"/>
      <c r="E9" s="3"/>
      <c r="F9" s="3"/>
      <c r="G9" s="4"/>
      <c r="H9" s="4"/>
      <c r="I9" s="4"/>
      <c r="J9" s="4"/>
      <c r="K9" s="4"/>
    </row>
    <row r="10" spans="2:11" ht="18.75" customHeight="1">
      <c r="B10" s="1" t="s">
        <v>44</v>
      </c>
      <c r="C10" s="1">
        <v>2024</v>
      </c>
      <c r="D10" s="1">
        <v>2025</v>
      </c>
      <c r="E10" s="1" t="s">
        <v>45</v>
      </c>
      <c r="F10" s="4"/>
      <c r="G10" s="4"/>
      <c r="H10" s="4"/>
      <c r="I10" s="4"/>
      <c r="J10" s="4"/>
      <c r="K10" s="4"/>
    </row>
    <row r="11" spans="2:11" ht="15">
      <c r="B11" s="4" t="s">
        <v>72</v>
      </c>
      <c r="C11" s="6">
        <f>C5/C4</f>
        <v>3.2990183949561457E-2</v>
      </c>
      <c r="D11" s="6">
        <f>D5/D4</f>
        <v>2.8215858839725477E-2</v>
      </c>
      <c r="E11" s="5">
        <f>(D11-C11)*100</f>
        <v>-0.47743251098359801</v>
      </c>
      <c r="F11" s="5"/>
      <c r="G11" s="5"/>
      <c r="H11" s="5"/>
      <c r="I11" s="5"/>
      <c r="J11" s="5"/>
      <c r="K11" s="4"/>
    </row>
    <row r="12" spans="2:11" ht="15">
      <c r="B12" s="4" t="s">
        <v>73</v>
      </c>
      <c r="C12" s="6">
        <f>C6/'02 Výsledovka'!C4</f>
        <v>8.4992600131041887E-2</v>
      </c>
      <c r="D12" s="6">
        <f>D6/'02 Výsledovka'!D4</f>
        <v>9.3731658547144922E-2</v>
      </c>
      <c r="E12" s="5">
        <f>(D12-C12)*100</f>
        <v>0.87390584161030349</v>
      </c>
      <c r="F12" s="5"/>
      <c r="G12" s="5"/>
      <c r="H12" s="5"/>
      <c r="I12" s="5"/>
      <c r="J12" s="5"/>
      <c r="K12" s="4"/>
    </row>
    <row r="13" spans="2:11" ht="15"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2:11" ht="15"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2:11" ht="21.75" customHeight="1">
      <c r="B15" s="3" t="s">
        <v>74</v>
      </c>
      <c r="C15" s="3"/>
      <c r="D15" s="3"/>
      <c r="E15" s="3"/>
      <c r="F15" s="3"/>
      <c r="G15" s="4"/>
      <c r="H15" s="4"/>
      <c r="I15" s="4"/>
      <c r="J15" s="4"/>
      <c r="K15" s="4"/>
    </row>
    <row r="16" spans="2:11" ht="18.75" customHeight="1">
      <c r="B16" s="1" t="s">
        <v>75</v>
      </c>
      <c r="C16" s="1" t="s">
        <v>76</v>
      </c>
      <c r="D16" s="4"/>
      <c r="E16" s="4"/>
      <c r="F16" s="4"/>
      <c r="G16" s="4"/>
      <c r="H16" s="4"/>
      <c r="I16" s="4"/>
      <c r="J16" s="4"/>
      <c r="K16" s="4"/>
    </row>
    <row r="17" spans="2:11" ht="15">
      <c r="B17" s="4" t="s">
        <v>77</v>
      </c>
      <c r="C17" s="5">
        <v>32133</v>
      </c>
      <c r="D17" s="5"/>
      <c r="E17" s="5"/>
      <c r="F17" s="5"/>
      <c r="G17" s="5"/>
      <c r="H17" s="5"/>
      <c r="I17" s="5"/>
      <c r="J17" s="5"/>
      <c r="K17" s="4"/>
    </row>
    <row r="18" spans="2:11" ht="15">
      <c r="B18" s="4" t="s">
        <v>78</v>
      </c>
      <c r="C18" s="5">
        <v>5888</v>
      </c>
      <c r="D18" s="5"/>
      <c r="E18" s="5"/>
      <c r="F18" s="5"/>
      <c r="G18" s="5"/>
      <c r="H18" s="5"/>
      <c r="I18" s="5"/>
      <c r="J18" s="5"/>
      <c r="K18" s="4"/>
    </row>
    <row r="19" spans="2:11" ht="15">
      <c r="B19" s="4" t="s">
        <v>79</v>
      </c>
      <c r="C19" s="5">
        <v>-8362</v>
      </c>
      <c r="D19" s="5"/>
      <c r="E19" s="5"/>
      <c r="F19" s="5"/>
      <c r="G19" s="5"/>
      <c r="H19" s="5"/>
      <c r="I19" s="5"/>
      <c r="J19" s="5"/>
      <c r="K19" s="4"/>
    </row>
    <row r="20" spans="2:11" ht="15">
      <c r="B20" s="4" t="s">
        <v>80</v>
      </c>
      <c r="C20" s="5">
        <v>-391</v>
      </c>
      <c r="D20" s="5"/>
      <c r="E20" s="5"/>
      <c r="F20" s="5"/>
      <c r="G20" s="5"/>
      <c r="H20" s="5"/>
      <c r="I20" s="5"/>
      <c r="J20" s="5"/>
      <c r="K20" s="4"/>
    </row>
    <row r="21" spans="2:11" ht="15">
      <c r="B21" s="7" t="s">
        <v>81</v>
      </c>
      <c r="C21" s="8">
        <f>SUM(C17:C20)</f>
        <v>29268</v>
      </c>
      <c r="D21" s="11"/>
      <c r="E21" s="11"/>
      <c r="F21" s="11"/>
      <c r="G21" s="11"/>
      <c r="H21" s="11"/>
      <c r="I21" s="5"/>
      <c r="J21" s="5"/>
      <c r="K21" s="4"/>
    </row>
    <row r="22" spans="2:11" ht="15">
      <c r="B22" s="7" t="s">
        <v>82</v>
      </c>
      <c r="C22" s="8">
        <f>C21-D5</f>
        <v>0</v>
      </c>
      <c r="D22" s="11"/>
      <c r="E22" s="11"/>
      <c r="F22" s="11"/>
      <c r="G22" s="11"/>
      <c r="H22" s="11"/>
      <c r="I22" s="5"/>
      <c r="J22" s="5"/>
      <c r="K22" s="4"/>
    </row>
    <row r="23" spans="2:11" ht="15"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2:11" ht="15"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2:11">
      <c r="B25" s="10" t="s">
        <v>83</v>
      </c>
      <c r="C25" s="10"/>
      <c r="D25" s="10"/>
      <c r="E25" s="10"/>
      <c r="F25" s="10"/>
      <c r="G25" s="10"/>
      <c r="H25" s="10"/>
      <c r="I25" s="10"/>
      <c r="J25" s="10"/>
      <c r="K25" s="10"/>
    </row>
    <row r="26" spans="2:11" ht="15"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2:11" ht="15"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2:11" ht="15"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2:11" ht="15"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2:11" ht="15"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2:11" ht="15"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2:11" ht="15"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2:11" ht="15"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2:11" ht="15"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2:11" ht="15"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2:11" ht="15"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2:11" ht="15"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2:11" ht="15"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2:11" ht="15"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2:11" ht="15"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2:11" ht="15"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2:11" ht="15"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2:11" ht="15"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2:11" ht="15"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2:11" ht="1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2:11" ht="15"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2:11" ht="15"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2:11" ht="15"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2:11" ht="15"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2:11" ht="15"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2:11" ht="15"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2:11" ht="15"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2:11" ht="15"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2:11" ht="15"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2:11" ht="15"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2:11" ht="15"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2:11" ht="15"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2:11" ht="15"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2:11" ht="15"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2:11" ht="15"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2:11" ht="15"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2:11" ht="15"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2:11" ht="15"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2:11" ht="15"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2:11" ht="15"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2:11" ht="15"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2:11" ht="15"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2:11" ht="15"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2:11" ht="15"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2:11" ht="15"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2:11" ht="15"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2:11" ht="15"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2:11" ht="15"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2:11" ht="15"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2:11" ht="15"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2:11" ht="15"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2:11" ht="15"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2:11" ht="15"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2:11" ht="15"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2:11" ht="15"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2:11" ht="15"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2:11" ht="15"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2:11" ht="15"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2:11" ht="15"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2:11" ht="15"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2:11" ht="15"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2:11" ht="15"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2:11" ht="15"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2:11" ht="15"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2:11" ht="15"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2:11" ht="15"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2:11" ht="15"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2:11" ht="15"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2:11" ht="15"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2:11" ht="15"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2:11" ht="15"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2:11" ht="15"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2:11" ht="15"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2:11" ht="15"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2:11" ht="15"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spans="2:11" ht="15"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spans="2:11" ht="15"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spans="2:11" ht="15"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2:11" ht="15"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2:11" ht="15"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2:11" ht="15"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2:11" ht="15"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2:11" ht="15"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2:11" ht="15"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2:11" ht="15"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2:11" ht="15"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2:11" ht="15"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2:11" ht="15"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2:11" ht="15"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2:11" ht="15"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2:11" ht="15"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2:11" ht="15"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2:11" ht="15"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2:11" ht="15"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2:11" ht="15"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2:11" ht="15"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2:11" ht="15"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2:11" ht="15"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2:11" ht="15"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2:11" ht="15">
      <c r="B125" s="4"/>
      <c r="C125" s="4"/>
      <c r="D125" s="4"/>
      <c r="E125" s="4"/>
      <c r="F125" s="4"/>
      <c r="G125" s="4"/>
      <c r="H125" s="4"/>
      <c r="I125" s="4"/>
      <c r="J125" s="4"/>
      <c r="K125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K125"/>
  <sheetViews>
    <sheetView showGridLines="0" topLeftCell="A6" workbookViewId="0">
      <selection activeCell="C27" sqref="C27"/>
    </sheetView>
  </sheetViews>
  <sheetFormatPr defaultRowHeight="14.25"/>
  <cols>
    <col min="1" max="1" width="2.5" style="13" customWidth="1"/>
    <col min="2" max="2" width="42.5" style="13" customWidth="1"/>
    <col min="3" max="10" width="16.625" style="13" customWidth="1"/>
    <col min="11" max="11" width="23.75" style="13" customWidth="1"/>
    <col min="12" max="16384" width="9" style="13"/>
  </cols>
  <sheetData>
    <row r="1" spans="2:11" ht="15" customHeight="1"/>
    <row r="2" spans="2:11" ht="21.75" customHeight="1">
      <c r="B2" s="3" t="s">
        <v>84</v>
      </c>
      <c r="C2" s="3"/>
      <c r="D2" s="3"/>
      <c r="E2" s="3"/>
      <c r="F2" s="3"/>
      <c r="G2" s="4"/>
      <c r="H2" s="4"/>
      <c r="I2" s="4"/>
      <c r="J2" s="4"/>
      <c r="K2" s="4"/>
    </row>
    <row r="3" spans="2:11" ht="18.75" customHeight="1">
      <c r="B3" s="1" t="s">
        <v>30</v>
      </c>
      <c r="C3" s="1">
        <v>2024</v>
      </c>
      <c r="D3" s="1">
        <v>2025</v>
      </c>
      <c r="E3" s="1" t="s">
        <v>33</v>
      </c>
      <c r="F3" s="1" t="s">
        <v>34</v>
      </c>
      <c r="G3" s="4"/>
      <c r="H3" s="4"/>
      <c r="I3" s="4"/>
      <c r="J3" s="4"/>
      <c r="K3" s="4"/>
    </row>
    <row r="4" spans="2:11" ht="15">
      <c r="B4" s="4" t="s">
        <v>85</v>
      </c>
      <c r="C4" s="5">
        <v>1256656</v>
      </c>
      <c r="D4" s="5">
        <v>1139322</v>
      </c>
      <c r="E4" s="5">
        <f>D4-C4</f>
        <v>-117334</v>
      </c>
      <c r="F4" s="6">
        <f>D4/C4-1</f>
        <v>-9.3370023299932492E-2</v>
      </c>
      <c r="G4" s="5"/>
      <c r="H4" s="5"/>
      <c r="I4" s="5"/>
      <c r="J4" s="5"/>
      <c r="K4" s="4"/>
    </row>
    <row r="5" spans="2:11" ht="15">
      <c r="B5" s="4" t="s">
        <v>70</v>
      </c>
      <c r="C5" s="5">
        <v>41558</v>
      </c>
      <c r="D5" s="5">
        <v>38667</v>
      </c>
      <c r="E5" s="5">
        <f>D5-C5</f>
        <v>-2891</v>
      </c>
      <c r="F5" s="6">
        <f>D5/C5-1</f>
        <v>-6.9565426632657967E-2</v>
      </c>
      <c r="G5" s="5"/>
      <c r="H5" s="5"/>
      <c r="I5" s="5"/>
      <c r="J5" s="5"/>
      <c r="K5" s="4"/>
    </row>
    <row r="6" spans="2:11" ht="15">
      <c r="B6" s="7" t="s">
        <v>86</v>
      </c>
      <c r="C6" s="8">
        <f>C4-C5</f>
        <v>1215098</v>
      </c>
      <c r="D6" s="8">
        <f>D4-D5</f>
        <v>1100655</v>
      </c>
      <c r="E6" s="8">
        <f>D6-C6</f>
        <v>-114443</v>
      </c>
      <c r="F6" s="9">
        <f>D6/C6-1</f>
        <v>-9.418417279923097E-2</v>
      </c>
      <c r="G6" s="11"/>
      <c r="H6" s="11"/>
      <c r="I6" s="5"/>
      <c r="J6" s="5"/>
      <c r="K6" s="4"/>
    </row>
    <row r="7" spans="2:11" ht="15">
      <c r="B7" s="4"/>
      <c r="C7" s="4"/>
      <c r="D7" s="4"/>
      <c r="E7" s="4"/>
      <c r="F7" s="4"/>
      <c r="G7" s="4"/>
      <c r="H7" s="4"/>
      <c r="I7" s="4"/>
      <c r="J7" s="4"/>
      <c r="K7" s="4"/>
    </row>
    <row r="8" spans="2:11" ht="15">
      <c r="B8" s="4"/>
      <c r="C8" s="4"/>
      <c r="D8" s="4"/>
      <c r="E8" s="4"/>
      <c r="F8" s="4"/>
      <c r="G8" s="4"/>
      <c r="H8" s="4"/>
      <c r="I8" s="4"/>
      <c r="J8" s="4"/>
      <c r="K8" s="4"/>
    </row>
    <row r="9" spans="2:11" ht="21.75" customHeight="1">
      <c r="B9" s="3" t="s">
        <v>87</v>
      </c>
      <c r="C9" s="3"/>
      <c r="D9" s="3"/>
      <c r="E9" s="3"/>
      <c r="F9" s="3"/>
      <c r="G9" s="4"/>
      <c r="H9" s="4"/>
      <c r="I9" s="4"/>
      <c r="J9" s="4"/>
      <c r="K9" s="4"/>
    </row>
    <row r="10" spans="2:11" ht="18.75" customHeight="1">
      <c r="B10" s="1" t="s">
        <v>88</v>
      </c>
      <c r="C10" s="1">
        <v>2024</v>
      </c>
      <c r="D10" s="1">
        <v>2025</v>
      </c>
      <c r="E10" s="1" t="s">
        <v>33</v>
      </c>
      <c r="F10" s="4"/>
      <c r="G10" s="4"/>
      <c r="H10" s="4"/>
      <c r="I10" s="4"/>
      <c r="J10" s="4"/>
      <c r="K10" s="4"/>
    </row>
    <row r="11" spans="2:11" ht="15">
      <c r="B11" s="4" t="s">
        <v>89</v>
      </c>
      <c r="C11" s="5">
        <v>1082066</v>
      </c>
      <c r="D11" s="5">
        <v>950386</v>
      </c>
      <c r="E11" s="5">
        <f t="shared" ref="E11:E18" si="0">D11-C11</f>
        <v>-131680</v>
      </c>
      <c r="F11" s="5"/>
      <c r="G11" s="5"/>
      <c r="H11" s="5"/>
      <c r="I11" s="5"/>
      <c r="J11" s="5"/>
      <c r="K11" s="4"/>
    </row>
    <row r="12" spans="2:11" ht="15">
      <c r="B12" s="4" t="s">
        <v>90</v>
      </c>
      <c r="C12" s="5">
        <v>105542</v>
      </c>
      <c r="D12" s="5">
        <v>96159</v>
      </c>
      <c r="E12" s="5">
        <f t="shared" si="0"/>
        <v>-9383</v>
      </c>
      <c r="F12" s="5"/>
      <c r="G12" s="5"/>
      <c r="H12" s="5"/>
      <c r="I12" s="5"/>
      <c r="J12" s="5"/>
      <c r="K12" s="4"/>
    </row>
    <row r="13" spans="2:11" ht="15">
      <c r="B13" s="4" t="s">
        <v>91</v>
      </c>
      <c r="C13" s="5">
        <v>26584</v>
      </c>
      <c r="D13" s="5">
        <v>47744</v>
      </c>
      <c r="E13" s="5">
        <f t="shared" si="0"/>
        <v>21160</v>
      </c>
      <c r="F13" s="5"/>
      <c r="G13" s="5"/>
      <c r="H13" s="5"/>
      <c r="I13" s="5"/>
      <c r="J13" s="5"/>
      <c r="K13" s="4"/>
    </row>
    <row r="14" spans="2:11" ht="15">
      <c r="B14" s="4" t="s">
        <v>92</v>
      </c>
      <c r="C14" s="5">
        <v>7307</v>
      </c>
      <c r="D14" s="5">
        <v>12536</v>
      </c>
      <c r="E14" s="5">
        <f t="shared" si="0"/>
        <v>5229</v>
      </c>
      <c r="F14" s="5"/>
      <c r="G14" s="5"/>
      <c r="H14" s="5"/>
      <c r="I14" s="5"/>
      <c r="J14" s="5"/>
      <c r="K14" s="4"/>
    </row>
    <row r="15" spans="2:11" ht="15">
      <c r="B15" s="4" t="s">
        <v>93</v>
      </c>
      <c r="C15" s="5">
        <v>5367</v>
      </c>
      <c r="D15" s="5">
        <v>1872</v>
      </c>
      <c r="E15" s="5">
        <f t="shared" si="0"/>
        <v>-3495</v>
      </c>
      <c r="F15" s="5"/>
      <c r="G15" s="5"/>
      <c r="H15" s="5"/>
      <c r="I15" s="5"/>
      <c r="J15" s="5"/>
      <c r="K15" s="4"/>
    </row>
    <row r="16" spans="2:11" ht="15">
      <c r="B16" s="4" t="s">
        <v>94</v>
      </c>
      <c r="C16" s="5">
        <v>29790</v>
      </c>
      <c r="D16" s="5">
        <v>30625</v>
      </c>
      <c r="E16" s="5">
        <f t="shared" si="0"/>
        <v>835</v>
      </c>
      <c r="F16" s="5"/>
      <c r="G16" s="5"/>
      <c r="H16" s="5"/>
      <c r="I16" s="5"/>
      <c r="J16" s="5"/>
      <c r="K16" s="4"/>
    </row>
    <row r="17" spans="2:11" ht="15">
      <c r="B17" s="7" t="s">
        <v>95</v>
      </c>
      <c r="C17" s="8">
        <f>SUM(C12:C16)</f>
        <v>174590</v>
      </c>
      <c r="D17" s="8">
        <f>SUM(D12:D16)</f>
        <v>188936</v>
      </c>
      <c r="E17" s="8">
        <f t="shared" si="0"/>
        <v>14346</v>
      </c>
      <c r="F17" s="11"/>
      <c r="G17" s="11"/>
      <c r="H17" s="11"/>
      <c r="I17" s="5"/>
      <c r="J17" s="5"/>
      <c r="K17" s="4"/>
    </row>
    <row r="18" spans="2:11" ht="15">
      <c r="B18" s="7" t="s">
        <v>96</v>
      </c>
      <c r="C18" s="8">
        <f>C11+C17</f>
        <v>1256656</v>
      </c>
      <c r="D18" s="8">
        <f>D11+D17</f>
        <v>1139322</v>
      </c>
      <c r="E18" s="8">
        <f t="shared" si="0"/>
        <v>-117334</v>
      </c>
      <c r="F18" s="11"/>
      <c r="G18" s="11"/>
      <c r="H18" s="11"/>
      <c r="I18" s="5"/>
      <c r="J18" s="5"/>
      <c r="K18" s="4"/>
    </row>
    <row r="19" spans="2:11" ht="15">
      <c r="B19" s="7" t="s">
        <v>97</v>
      </c>
      <c r="C19" s="8">
        <f>C18-C4</f>
        <v>0</v>
      </c>
      <c r="D19" s="8">
        <f>D18-D4</f>
        <v>0</v>
      </c>
      <c r="E19" s="8"/>
      <c r="F19" s="11"/>
      <c r="G19" s="11"/>
      <c r="H19" s="11"/>
      <c r="I19" s="5"/>
      <c r="J19" s="5"/>
      <c r="K19" s="4"/>
    </row>
    <row r="20" spans="2:11" ht="15"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2:11" ht="15"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2:11" ht="21.75" customHeight="1">
      <c r="B22" s="3" t="s">
        <v>43</v>
      </c>
      <c r="C22" s="3"/>
      <c r="D22" s="3"/>
      <c r="E22" s="3"/>
      <c r="F22" s="3"/>
      <c r="G22" s="4"/>
      <c r="H22" s="4"/>
      <c r="I22" s="4"/>
      <c r="J22" s="4"/>
      <c r="K22" s="4"/>
    </row>
    <row r="23" spans="2:11" ht="18.75" customHeight="1">
      <c r="B23" s="1" t="s">
        <v>44</v>
      </c>
      <c r="C23" s="1">
        <v>2024</v>
      </c>
      <c r="D23" s="1">
        <v>2025</v>
      </c>
      <c r="E23" s="1" t="s">
        <v>45</v>
      </c>
      <c r="F23" s="4"/>
      <c r="G23" s="4"/>
      <c r="H23" s="4"/>
      <c r="I23" s="4"/>
      <c r="J23" s="4"/>
      <c r="K23" s="4"/>
    </row>
    <row r="24" spans="2:11" ht="15">
      <c r="B24" s="4" t="s">
        <v>98</v>
      </c>
      <c r="C24" s="6">
        <f>C5/C4</f>
        <v>3.3070307228071964E-2</v>
      </c>
      <c r="D24" s="6">
        <f>D5/D4</f>
        <v>3.3938605591746669E-2</v>
      </c>
      <c r="E24" s="5">
        <f>(D24-C24)*100</f>
        <v>8.6829836367470492E-2</v>
      </c>
      <c r="F24" s="5"/>
      <c r="G24" s="5"/>
      <c r="H24" s="5"/>
      <c r="I24" s="5"/>
      <c r="J24" s="5"/>
      <c r="K24" s="4"/>
    </row>
    <row r="25" spans="2:11" ht="15">
      <c r="B25" s="4" t="s">
        <v>99</v>
      </c>
      <c r="C25" s="6">
        <f>C17/C4</f>
        <v>0.13893221374823342</v>
      </c>
      <c r="D25" s="6">
        <f>D17/D4</f>
        <v>0.16583195970937101</v>
      </c>
      <c r="E25" s="5">
        <f>(D25-C25)*100</f>
        <v>2.6899745961137587</v>
      </c>
      <c r="F25" s="5"/>
      <c r="G25" s="5"/>
      <c r="H25" s="5"/>
      <c r="I25" s="5"/>
      <c r="J25" s="5"/>
      <c r="K25" s="4"/>
    </row>
    <row r="26" spans="2:11" ht="15">
      <c r="B26" s="4" t="s">
        <v>100</v>
      </c>
      <c r="C26" s="6">
        <f>SUM(C12:C15)/C4</f>
        <v>0.11522644224035854</v>
      </c>
      <c r="D26" s="6">
        <f>SUM(D12:D15)/D4</f>
        <v>0.13895193808247361</v>
      </c>
      <c r="E26" s="5">
        <f>(D26-C26)*100</f>
        <v>2.372549584211507</v>
      </c>
      <c r="F26" s="5"/>
      <c r="G26" s="5"/>
      <c r="H26" s="5"/>
      <c r="I26" s="5"/>
      <c r="J26" s="5"/>
      <c r="K26" s="4"/>
    </row>
    <row r="27" spans="2:11" ht="15">
      <c r="B27" s="4" t="s">
        <v>101</v>
      </c>
      <c r="C27" s="6">
        <f>C5/SUM(C14:C16)</f>
        <v>0.97866428033157493</v>
      </c>
      <c r="D27" s="6">
        <f>D5/SUM(D14:D16)</f>
        <v>0.85863699953367534</v>
      </c>
      <c r="E27" s="5">
        <f>(D27-C27)*100</f>
        <v>-12.002728079789959</v>
      </c>
      <c r="F27" s="5"/>
      <c r="G27" s="5"/>
      <c r="H27" s="5"/>
      <c r="I27" s="5"/>
      <c r="J27" s="5"/>
      <c r="K27" s="4"/>
    </row>
    <row r="28" spans="2:11" ht="15">
      <c r="B28" s="4" t="s">
        <v>102</v>
      </c>
      <c r="C28" s="5">
        <f>SUM(C14:C16)</f>
        <v>42464</v>
      </c>
      <c r="D28" s="5">
        <f>SUM(D14:D16)</f>
        <v>45033</v>
      </c>
      <c r="E28" s="5"/>
      <c r="F28" s="5"/>
      <c r="G28" s="5"/>
      <c r="H28" s="5"/>
      <c r="I28" s="5"/>
      <c r="J28" s="5"/>
      <c r="K28" s="4"/>
    </row>
    <row r="29" spans="2:11" ht="15">
      <c r="B29" s="4" t="s">
        <v>200</v>
      </c>
      <c r="C29" s="5"/>
      <c r="D29" s="12">
        <f>AVERAGE(C6:D6)/'02 Výsledovka'!D4*365</f>
        <v>39.298124671295128</v>
      </c>
      <c r="E29" s="5"/>
      <c r="F29" s="5"/>
      <c r="G29" s="5"/>
      <c r="H29" s="5"/>
      <c r="I29" s="5"/>
      <c r="J29" s="5"/>
      <c r="K29" s="4"/>
    </row>
    <row r="30" spans="2:11" ht="15"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2:11" ht="15"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2:11">
      <c r="B32" s="10" t="s">
        <v>103</v>
      </c>
      <c r="C32" s="10"/>
      <c r="D32" s="10"/>
      <c r="E32" s="10"/>
      <c r="F32" s="10"/>
      <c r="G32" s="10"/>
      <c r="H32" s="10"/>
      <c r="I32" s="10"/>
      <c r="J32" s="10"/>
      <c r="K32" s="10"/>
    </row>
    <row r="33" spans="2:11" ht="15"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2:11" ht="15"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2:11" ht="15"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2:11" ht="15"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2:11" ht="15"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2:11" ht="15"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2:11" ht="15"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2:11" ht="15"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2:11" ht="15"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2:11" ht="15"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2:11" ht="15"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2:11" ht="15"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2:11" ht="1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2:11" ht="15"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2:11" ht="15"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2:11" ht="15"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2:11" ht="15"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2:11" ht="15"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2:11" ht="15"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2:11" ht="15"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2:11" ht="15"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2:11" ht="15"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2:11" ht="15"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2:11" ht="15"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2:11" ht="15"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2:11" ht="15"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2:11" ht="15"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2:11" ht="15"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2:11" ht="15"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2:11" ht="15"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2:11" ht="15"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2:11" ht="15"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2:11" ht="15"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2:11" ht="15"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2:11" ht="15"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2:11" ht="15"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2:11" ht="15"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2:11" ht="15"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2:11" ht="15"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2:11" ht="15"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2:11" ht="15"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2:11" ht="15"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2:11" ht="15"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2:11" ht="15"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2:11" ht="15"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2:11" ht="15"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2:11" ht="15"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2:11" ht="15"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2:11" ht="15"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2:11" ht="15"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2:11" ht="15"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2:11" ht="15"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2:11" ht="15"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2:11" ht="15"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2:11" ht="15"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2:11" ht="15"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2:11" ht="15"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2:11" ht="15"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2:11" ht="15"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2:11" ht="15"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2:11" ht="15"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2:11" ht="15"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2:11" ht="15"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2:11" ht="15"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2:11" ht="15"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2:11" ht="15"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2:11" ht="15"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2:11" ht="15"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spans="2:11" ht="15"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spans="2:11" ht="15"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spans="2:11" ht="15"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2:11" ht="15"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2:11" ht="15"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2:11" ht="15"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2:11" ht="15"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2:11" ht="15"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2:11" ht="15"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2:11" ht="15"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2:11" ht="15"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2:11" ht="15"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2:11" ht="15"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2:11" ht="15"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2:11" ht="15"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2:11" ht="15"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2:11" ht="15"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2:11" ht="15"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2:11" ht="15"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2:11" ht="15"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2:11" ht="15"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2:11" ht="15"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2:11" ht="15"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2:11" ht="15"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2:11" ht="15">
      <c r="B125" s="4"/>
      <c r="C125" s="4"/>
      <c r="D125" s="4"/>
      <c r="E125" s="4"/>
      <c r="F125" s="4"/>
      <c r="G125" s="4"/>
      <c r="H125" s="4"/>
      <c r="I125" s="4"/>
      <c r="J125" s="4"/>
      <c r="K125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K125"/>
  <sheetViews>
    <sheetView showGridLines="0" workbookViewId="0"/>
  </sheetViews>
  <sheetFormatPr defaultRowHeight="14.25"/>
  <cols>
    <col min="1" max="1" width="2.5" style="13" customWidth="1"/>
    <col min="2" max="2" width="42.5" style="13" customWidth="1"/>
    <col min="3" max="10" width="16.625" style="13" customWidth="1"/>
    <col min="11" max="11" width="23.75" style="13" customWidth="1"/>
    <col min="12" max="16384" width="9" style="13"/>
  </cols>
  <sheetData>
    <row r="1" spans="2:11" ht="15" customHeight="1"/>
    <row r="2" spans="2:11" ht="21.75" customHeight="1">
      <c r="B2" s="3" t="s">
        <v>104</v>
      </c>
      <c r="C2" s="3"/>
      <c r="D2" s="3"/>
      <c r="E2" s="3"/>
      <c r="F2" s="3"/>
      <c r="G2" s="4"/>
      <c r="H2" s="4"/>
      <c r="I2" s="4"/>
      <c r="J2" s="4"/>
      <c r="K2" s="4"/>
    </row>
    <row r="3" spans="2:11" ht="18.75" customHeight="1">
      <c r="B3" s="1" t="s">
        <v>30</v>
      </c>
      <c r="C3" s="1">
        <v>2024</v>
      </c>
      <c r="D3" s="1">
        <v>2025</v>
      </c>
      <c r="E3" s="1" t="s">
        <v>33</v>
      </c>
      <c r="F3" s="1" t="s">
        <v>34</v>
      </c>
      <c r="G3" s="4"/>
      <c r="H3" s="4"/>
      <c r="I3" s="4"/>
      <c r="J3" s="4"/>
      <c r="K3" s="4"/>
    </row>
    <row r="4" spans="2:11" ht="15">
      <c r="B4" s="7" t="s">
        <v>105</v>
      </c>
      <c r="C4" s="8">
        <v>4410318</v>
      </c>
      <c r="D4" s="8">
        <v>5267049</v>
      </c>
      <c r="E4" s="8">
        <f>D4-C4</f>
        <v>856731</v>
      </c>
      <c r="F4" s="9">
        <f>D4/C4-1</f>
        <v>0.19425606044734178</v>
      </c>
      <c r="G4" s="11"/>
      <c r="H4" s="11"/>
      <c r="I4" s="5"/>
      <c r="J4" s="5"/>
      <c r="K4" s="4"/>
    </row>
    <row r="5" spans="2:11" ht="15">
      <c r="B5" s="4"/>
      <c r="C5" s="4"/>
      <c r="D5" s="4"/>
      <c r="E5" s="4"/>
      <c r="F5" s="4"/>
      <c r="G5" s="18"/>
      <c r="H5" s="18"/>
      <c r="I5" s="4"/>
      <c r="J5" s="4"/>
      <c r="K5" s="4"/>
    </row>
    <row r="6" spans="2:11" ht="15">
      <c r="B6" s="4"/>
      <c r="C6" s="4"/>
      <c r="D6" s="4"/>
      <c r="E6" s="4"/>
      <c r="F6" s="4"/>
      <c r="G6" s="4"/>
      <c r="H6" s="4"/>
      <c r="I6" s="4"/>
      <c r="J6" s="4"/>
      <c r="K6" s="4"/>
    </row>
    <row r="7" spans="2:11" ht="21.75" customHeight="1">
      <c r="B7" s="3" t="s">
        <v>106</v>
      </c>
      <c r="C7" s="3"/>
      <c r="D7" s="3"/>
      <c r="E7" s="3"/>
      <c r="F7" s="3"/>
      <c r="G7" s="4"/>
      <c r="H7" s="4"/>
      <c r="I7" s="4"/>
      <c r="J7" s="4"/>
      <c r="K7" s="4"/>
    </row>
    <row r="8" spans="2:11" ht="18.75" customHeight="1">
      <c r="B8" s="1" t="s">
        <v>75</v>
      </c>
      <c r="C8" s="1" t="s">
        <v>76</v>
      </c>
      <c r="D8" s="4"/>
      <c r="E8" s="4"/>
      <c r="F8" s="4"/>
      <c r="G8" s="4"/>
      <c r="H8" s="4"/>
      <c r="I8" s="4"/>
      <c r="J8" s="4"/>
      <c r="K8" s="4"/>
    </row>
    <row r="9" spans="2:11" ht="15">
      <c r="B9" s="4" t="s">
        <v>107</v>
      </c>
      <c r="C9" s="5">
        <v>1173590</v>
      </c>
      <c r="D9" s="5"/>
      <c r="E9" s="5"/>
      <c r="F9" s="5"/>
      <c r="G9" s="5"/>
      <c r="H9" s="5"/>
      <c r="I9" s="5"/>
      <c r="J9" s="5"/>
      <c r="K9" s="4"/>
    </row>
    <row r="10" spans="2:11" ht="15">
      <c r="B10" s="4" t="s">
        <v>108</v>
      </c>
      <c r="C10" s="5">
        <v>331278</v>
      </c>
      <c r="D10" s="5"/>
      <c r="E10" s="5"/>
      <c r="F10" s="5"/>
      <c r="G10" s="5"/>
      <c r="H10" s="5"/>
      <c r="I10" s="5"/>
      <c r="J10" s="5"/>
      <c r="K10" s="4"/>
    </row>
    <row r="11" spans="2:11" ht="15">
      <c r="B11" s="4" t="s">
        <v>109</v>
      </c>
      <c r="C11" s="5">
        <v>224127</v>
      </c>
      <c r="D11" s="5"/>
      <c r="E11" s="5"/>
      <c r="F11" s="5"/>
      <c r="G11" s="5"/>
      <c r="H11" s="5"/>
      <c r="I11" s="5"/>
      <c r="J11" s="5"/>
      <c r="K11" s="4"/>
    </row>
    <row r="12" spans="2:11" ht="15">
      <c r="B12" s="7" t="s">
        <v>110</v>
      </c>
      <c r="C12" s="8">
        <f>SUM(C9:C11)</f>
        <v>1728995</v>
      </c>
      <c r="D12" s="11"/>
      <c r="E12" s="11"/>
      <c r="F12" s="11"/>
      <c r="G12" s="11"/>
      <c r="H12" s="11"/>
      <c r="I12" s="5"/>
      <c r="J12" s="5"/>
      <c r="K12" s="4"/>
    </row>
    <row r="13" spans="2:11" ht="15"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2:11" ht="15"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2:11" ht="21.75" customHeight="1">
      <c r="B15" s="3" t="s">
        <v>111</v>
      </c>
      <c r="C15" s="3"/>
      <c r="D15" s="3"/>
      <c r="E15" s="3"/>
      <c r="F15" s="3"/>
      <c r="G15" s="4"/>
      <c r="H15" s="4"/>
      <c r="I15" s="4"/>
      <c r="J15" s="4"/>
      <c r="K15" s="4"/>
    </row>
    <row r="16" spans="2:11" ht="18.75" customHeight="1">
      <c r="B16" s="1" t="s">
        <v>44</v>
      </c>
      <c r="C16" s="1">
        <v>2024</v>
      </c>
      <c r="D16" s="1">
        <v>2025</v>
      </c>
      <c r="E16" s="4"/>
      <c r="F16" s="4"/>
      <c r="G16" s="4"/>
      <c r="H16" s="4"/>
      <c r="I16" s="4"/>
      <c r="J16" s="4"/>
      <c r="K16" s="4"/>
    </row>
    <row r="17" spans="2:11" ht="15">
      <c r="B17" s="4" t="s">
        <v>112</v>
      </c>
      <c r="C17" s="5">
        <v>1253</v>
      </c>
      <c r="D17" s="5">
        <v>1250</v>
      </c>
      <c r="E17" s="5"/>
      <c r="F17" s="5"/>
      <c r="G17" s="5"/>
      <c r="H17" s="5"/>
      <c r="I17" s="5"/>
      <c r="J17" s="5"/>
      <c r="K17" s="4"/>
    </row>
    <row r="18" spans="2:11" ht="15">
      <c r="B18" s="4" t="s">
        <v>113</v>
      </c>
      <c r="C18" s="5">
        <v>6326</v>
      </c>
      <c r="D18" s="5">
        <v>7526</v>
      </c>
      <c r="E18" s="5"/>
      <c r="F18" s="5"/>
      <c r="G18" s="5"/>
      <c r="H18" s="5"/>
      <c r="I18" s="5"/>
      <c r="J18" s="5"/>
      <c r="K18" s="4"/>
    </row>
    <row r="19" spans="2:11" ht="15">
      <c r="B19" s="4" t="s">
        <v>114</v>
      </c>
      <c r="C19" s="6">
        <f>C17/'02 Výsledovka'!C10</f>
        <v>1.3512333104353388E-3</v>
      </c>
      <c r="D19" s="6">
        <f>D17/'02 Výsledovka'!D10</f>
        <v>1.3398934516727231E-3</v>
      </c>
      <c r="E19" s="5"/>
      <c r="F19" s="5"/>
      <c r="G19" s="5"/>
      <c r="H19" s="5"/>
      <c r="I19" s="5"/>
      <c r="J19" s="5"/>
      <c r="K19" s="4"/>
    </row>
    <row r="20" spans="2:11" ht="15">
      <c r="B20" s="4" t="s">
        <v>115</v>
      </c>
      <c r="C20" s="6">
        <f>C17/C4</f>
        <v>2.8410649753600535E-4</v>
      </c>
      <c r="D20" s="6">
        <f>D17/D4</f>
        <v>2.3732454359167723E-4</v>
      </c>
      <c r="E20" s="5"/>
      <c r="F20" s="5"/>
      <c r="G20" s="5"/>
      <c r="H20" s="5"/>
      <c r="I20" s="5"/>
      <c r="J20" s="5"/>
      <c r="K20" s="4"/>
    </row>
    <row r="21" spans="2:11" ht="15"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2:11" ht="15"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2:11">
      <c r="B23" s="10" t="s">
        <v>116</v>
      </c>
      <c r="C23" s="10"/>
      <c r="D23" s="10"/>
      <c r="E23" s="10"/>
      <c r="F23" s="10"/>
      <c r="G23" s="10"/>
      <c r="H23" s="10"/>
      <c r="I23" s="10"/>
      <c r="J23" s="10"/>
      <c r="K23" s="10"/>
    </row>
    <row r="24" spans="2:11" ht="15"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2:11" ht="15"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2:11" ht="15"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2:11" ht="15"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2:11" ht="15"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2:11" ht="15"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2:11" ht="15"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2:11" ht="15"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2:11" ht="15"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2:11" ht="15"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2:11" ht="15"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2:11" ht="15"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2:11" ht="15"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2:11" ht="15"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2:11" ht="15"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2:11" ht="15"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2:11" ht="15"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2:11" ht="15"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2:11" ht="15"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2:11" ht="15"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2:11" ht="15"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2:11" ht="1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2:11" ht="15"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2:11" ht="15"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2:11" ht="15"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2:11" ht="15"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2:11" ht="15"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2:11" ht="15"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2:11" ht="15"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2:11" ht="15"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2:11" ht="15"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2:11" ht="15"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2:11" ht="15"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2:11" ht="15"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2:11" ht="15"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2:11" ht="15"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2:11" ht="15"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2:11" ht="15"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2:11" ht="15"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2:11" ht="15"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2:11" ht="15"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2:11" ht="15"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2:11" ht="15"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2:11" ht="15"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2:11" ht="15"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2:11" ht="15"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2:11" ht="15"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2:11" ht="15"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2:11" ht="15"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2:11" ht="15"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2:11" ht="15"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2:11" ht="15"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2:11" ht="15"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2:11" ht="15"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2:11" ht="15"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2:11" ht="15"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2:11" ht="15"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2:11" ht="15"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2:11" ht="15"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2:11" ht="15"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2:11" ht="15"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2:11" ht="15"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2:11" ht="15"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2:11" ht="15"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2:11" ht="15"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2:11" ht="15"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2:11" ht="15"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2:11" ht="15"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2:11" ht="15"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2:11" ht="15"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2:11" ht="15"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2:11" ht="15"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2:11" ht="15"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2:11" ht="15"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2:11" ht="15"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2:11" ht="15"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2:11" ht="15"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spans="2:11" ht="15"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spans="2:11" ht="15"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spans="2:11" ht="15"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2:11" ht="15"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2:11" ht="15"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2:11" ht="15"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2:11" ht="15"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2:11" ht="15"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2:11" ht="15"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2:11" ht="15"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2:11" ht="15"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2:11" ht="15"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2:11" ht="15"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2:11" ht="15"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2:11" ht="15"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2:11" ht="15"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2:11" ht="15"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2:11" ht="15"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2:11" ht="15"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2:11" ht="15"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2:11" ht="15"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2:11" ht="15"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2:11" ht="15"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2:11" ht="15"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2:11" ht="15">
      <c r="B125" s="4"/>
      <c r="C125" s="4"/>
      <c r="D125" s="4"/>
      <c r="E125" s="4"/>
      <c r="F125" s="4"/>
      <c r="G125" s="4"/>
      <c r="H125" s="4"/>
      <c r="I125" s="4"/>
      <c r="J125" s="4"/>
      <c r="K125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25"/>
  <sheetViews>
    <sheetView showGridLines="0" workbookViewId="0"/>
  </sheetViews>
  <sheetFormatPr defaultRowHeight="14.25"/>
  <cols>
    <col min="1" max="1" width="2.5" style="13" customWidth="1"/>
    <col min="2" max="2" width="42.5" style="13" customWidth="1"/>
    <col min="3" max="10" width="16.625" style="13" customWidth="1"/>
    <col min="11" max="11" width="23.75" style="13" customWidth="1"/>
    <col min="12" max="16384" width="9" style="13"/>
  </cols>
  <sheetData>
    <row r="1" spans="2:11" ht="15" customHeight="1"/>
    <row r="2" spans="2:11" ht="21.75" customHeight="1">
      <c r="B2" s="3" t="s">
        <v>117</v>
      </c>
      <c r="C2" s="3"/>
      <c r="D2" s="3"/>
      <c r="E2" s="3"/>
      <c r="F2" s="3"/>
      <c r="G2" s="4"/>
      <c r="H2" s="4"/>
      <c r="I2" s="4"/>
      <c r="J2" s="4"/>
      <c r="K2" s="4"/>
    </row>
    <row r="3" spans="2:11" ht="18.75" customHeight="1">
      <c r="B3" s="1" t="s">
        <v>30</v>
      </c>
      <c r="C3" s="1">
        <v>2024</v>
      </c>
      <c r="D3" s="1">
        <v>2025</v>
      </c>
      <c r="E3" s="2" t="s">
        <v>33</v>
      </c>
      <c r="F3" s="2" t="s">
        <v>34</v>
      </c>
      <c r="G3" s="4"/>
      <c r="H3" s="4"/>
      <c r="I3" s="4"/>
      <c r="J3" s="4"/>
      <c r="K3" s="4"/>
    </row>
    <row r="4" spans="2:11" ht="15">
      <c r="B4" s="4" t="s">
        <v>118</v>
      </c>
      <c r="C4" s="5">
        <v>7246172</v>
      </c>
      <c r="D4" s="5">
        <v>8476264</v>
      </c>
      <c r="E4" s="5">
        <f t="shared" ref="E4:E10" si="0">D4-C4</f>
        <v>1230092</v>
      </c>
      <c r="F4" s="6">
        <f t="shared" ref="F4:F10" si="1">D4/C4-1</f>
        <v>0.16975749402581108</v>
      </c>
      <c r="G4" s="5"/>
      <c r="H4" s="5"/>
      <c r="I4" s="5"/>
      <c r="J4" s="5"/>
      <c r="K4" s="4"/>
    </row>
    <row r="5" spans="2:11" ht="15">
      <c r="B5" s="4" t="s">
        <v>119</v>
      </c>
      <c r="C5" s="5">
        <v>3626843</v>
      </c>
      <c r="D5" s="5">
        <v>3061941</v>
      </c>
      <c r="E5" s="5">
        <f t="shared" si="0"/>
        <v>-564902</v>
      </c>
      <c r="F5" s="6">
        <f t="shared" si="1"/>
        <v>-0.15575584606226411</v>
      </c>
      <c r="G5" s="5"/>
      <c r="H5" s="5"/>
      <c r="I5" s="5"/>
      <c r="J5" s="5"/>
      <c r="K5" s="4"/>
    </row>
    <row r="6" spans="2:11" ht="15">
      <c r="B6" s="7" t="s">
        <v>120</v>
      </c>
      <c r="C6" s="8">
        <f>SUM(C4:C5)</f>
        <v>10873015</v>
      </c>
      <c r="D6" s="8">
        <f>SUM(D4:D5)</f>
        <v>11538205</v>
      </c>
      <c r="E6" s="8">
        <f t="shared" si="0"/>
        <v>665190</v>
      </c>
      <c r="F6" s="9">
        <f t="shared" si="1"/>
        <v>6.117806330626796E-2</v>
      </c>
      <c r="G6" s="11"/>
      <c r="H6" s="11"/>
      <c r="I6" s="5"/>
      <c r="J6" s="5"/>
      <c r="K6" s="4"/>
    </row>
    <row r="7" spans="2:11" ht="15">
      <c r="B7" s="4" t="s">
        <v>121</v>
      </c>
      <c r="C7" s="5">
        <v>2024008</v>
      </c>
      <c r="D7" s="5">
        <v>2282876</v>
      </c>
      <c r="E7" s="5">
        <f t="shared" si="0"/>
        <v>258868</v>
      </c>
      <c r="F7" s="6">
        <f t="shared" si="1"/>
        <v>0.12789870395769176</v>
      </c>
      <c r="G7" s="14"/>
      <c r="H7" s="14"/>
      <c r="I7" s="5"/>
      <c r="J7" s="5"/>
      <c r="K7" s="4"/>
    </row>
    <row r="8" spans="2:11" ht="15">
      <c r="B8" s="4" t="s">
        <v>122</v>
      </c>
      <c r="C8" s="5">
        <v>4739869</v>
      </c>
      <c r="D8" s="5">
        <v>5114441</v>
      </c>
      <c r="E8" s="5">
        <f t="shared" si="0"/>
        <v>374572</v>
      </c>
      <c r="F8" s="6">
        <f t="shared" si="1"/>
        <v>7.9025812738706458E-2</v>
      </c>
      <c r="G8" s="14"/>
      <c r="H8" s="14"/>
      <c r="I8" s="5"/>
      <c r="J8" s="5"/>
      <c r="K8" s="4"/>
    </row>
    <row r="9" spans="2:11" ht="15">
      <c r="B9" s="4" t="s">
        <v>123</v>
      </c>
      <c r="C9" s="5">
        <v>4109138</v>
      </c>
      <c r="D9" s="5">
        <v>4140888</v>
      </c>
      <c r="E9" s="5">
        <f t="shared" si="0"/>
        <v>31750</v>
      </c>
      <c r="F9" s="6">
        <f t="shared" si="1"/>
        <v>7.7266813623684261E-3</v>
      </c>
      <c r="G9" s="14"/>
      <c r="H9" s="14"/>
      <c r="I9" s="5"/>
      <c r="J9" s="5"/>
      <c r="K9" s="4"/>
    </row>
    <row r="10" spans="2:11" ht="15">
      <c r="B10" s="7" t="s">
        <v>124</v>
      </c>
      <c r="C10" s="8">
        <f>SUM(C7:C9)</f>
        <v>10873015</v>
      </c>
      <c r="D10" s="8">
        <f>SUM(D7:D9)</f>
        <v>11538205</v>
      </c>
      <c r="E10" s="8">
        <f t="shared" si="0"/>
        <v>665190</v>
      </c>
      <c r="F10" s="9">
        <f t="shared" si="1"/>
        <v>6.117806330626796E-2</v>
      </c>
      <c r="G10" s="11"/>
      <c r="H10" s="11"/>
      <c r="I10" s="5"/>
      <c r="J10" s="5"/>
      <c r="K10" s="4"/>
    </row>
    <row r="11" spans="2:11" ht="15">
      <c r="B11" s="7" t="s">
        <v>125</v>
      </c>
      <c r="C11" s="8">
        <f>C6-C10</f>
        <v>0</v>
      </c>
      <c r="D11" s="8">
        <f>D6-D10</f>
        <v>0</v>
      </c>
      <c r="E11" s="8"/>
      <c r="F11" s="8"/>
      <c r="G11" s="11"/>
      <c r="H11" s="11"/>
      <c r="I11" s="5"/>
      <c r="J11" s="5"/>
      <c r="K11" s="4"/>
    </row>
    <row r="12" spans="2:11" ht="15">
      <c r="B12" s="4" t="s">
        <v>126</v>
      </c>
      <c r="C12" s="5">
        <v>1229999</v>
      </c>
      <c r="D12" s="5">
        <v>634718</v>
      </c>
      <c r="E12" s="5">
        <f>D12-C12</f>
        <v>-595281</v>
      </c>
      <c r="F12" s="6">
        <f>D12/C12-1</f>
        <v>-0.48396868615340338</v>
      </c>
      <c r="G12" s="5"/>
      <c r="H12" s="5"/>
      <c r="I12" s="5"/>
      <c r="J12" s="5"/>
      <c r="K12" s="4"/>
    </row>
    <row r="13" spans="2:11" ht="15"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2:11" ht="15"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2:11" ht="21.75" customHeight="1">
      <c r="B15" s="3" t="s">
        <v>127</v>
      </c>
      <c r="C15" s="3"/>
      <c r="D15" s="3"/>
      <c r="E15" s="3"/>
      <c r="F15" s="3"/>
      <c r="G15" s="4"/>
      <c r="H15" s="4"/>
      <c r="I15" s="4"/>
      <c r="J15" s="4"/>
      <c r="K15" s="4"/>
    </row>
    <row r="16" spans="2:11" ht="18.75" customHeight="1">
      <c r="B16" s="1" t="s">
        <v>44</v>
      </c>
      <c r="C16" s="1">
        <v>2024</v>
      </c>
      <c r="D16" s="1">
        <v>2025</v>
      </c>
      <c r="E16" s="1" t="s">
        <v>33</v>
      </c>
      <c r="F16" s="4"/>
      <c r="G16" s="4"/>
      <c r="H16" s="4"/>
      <c r="I16" s="4"/>
      <c r="J16" s="4"/>
      <c r="K16" s="4"/>
    </row>
    <row r="17" spans="2:11" ht="15">
      <c r="B17" s="4" t="s">
        <v>128</v>
      </c>
      <c r="C17" s="6">
        <f>C7/C6</f>
        <v>0.18614965582223514</v>
      </c>
      <c r="D17" s="6">
        <f>D7/D6</f>
        <v>0.19785365227953569</v>
      </c>
      <c r="E17" s="6">
        <f t="shared" ref="E17:E22" si="2">D17-C17</f>
        <v>1.1703996457300553E-2</v>
      </c>
      <c r="F17" s="5"/>
      <c r="G17" s="5"/>
      <c r="H17" s="5"/>
      <c r="I17" s="5"/>
      <c r="J17" s="5"/>
      <c r="K17" s="4"/>
    </row>
    <row r="18" spans="2:11" ht="15">
      <c r="B18" s="4" t="s">
        <v>129</v>
      </c>
      <c r="C18" s="6">
        <f>C8/(C8+C9)</f>
        <v>0.53563851853659961</v>
      </c>
      <c r="D18" s="6">
        <f>D8/(D8+D9)</f>
        <v>0.55259418654917614</v>
      </c>
      <c r="E18" s="6">
        <f t="shared" si="2"/>
        <v>1.695566801257653E-2</v>
      </c>
      <c r="F18" s="5"/>
      <c r="G18" s="5"/>
      <c r="H18" s="5"/>
      <c r="I18" s="5"/>
      <c r="J18" s="5"/>
      <c r="K18" s="4"/>
    </row>
    <row r="19" spans="2:11" ht="15">
      <c r="B19" s="4" t="s">
        <v>130</v>
      </c>
      <c r="C19" s="5">
        <f>C5-C9</f>
        <v>-482295</v>
      </c>
      <c r="D19" s="5">
        <f>D5-D9</f>
        <v>-1078947</v>
      </c>
      <c r="E19" s="5">
        <f t="shared" si="2"/>
        <v>-596652</v>
      </c>
      <c r="F19" s="5"/>
      <c r="G19" s="5"/>
      <c r="H19" s="5"/>
      <c r="I19" s="5"/>
      <c r="J19" s="5"/>
      <c r="K19" s="4"/>
    </row>
    <row r="20" spans="2:11" ht="15">
      <c r="B20" s="4" t="s">
        <v>131</v>
      </c>
      <c r="C20" s="5">
        <f>C5/C9</f>
        <v>0.88262866810508678</v>
      </c>
      <c r="D20" s="5">
        <f>D5/D9</f>
        <v>0.73944067069672015</v>
      </c>
      <c r="E20" s="5">
        <f t="shared" si="2"/>
        <v>-0.14318799740836663</v>
      </c>
      <c r="F20" s="5"/>
      <c r="G20" s="5"/>
      <c r="H20" s="5"/>
      <c r="I20" s="5"/>
      <c r="J20" s="5"/>
      <c r="K20" s="4"/>
    </row>
    <row r="21" spans="2:11" ht="15">
      <c r="B21" s="4" t="s">
        <v>132</v>
      </c>
      <c r="C21" s="5">
        <f>C12/C9</f>
        <v>0.29933260941832568</v>
      </c>
      <c r="D21" s="5">
        <f>D12/D9</f>
        <v>0.15328064898157109</v>
      </c>
      <c r="E21" s="5">
        <f t="shared" si="2"/>
        <v>-0.14605196043675459</v>
      </c>
      <c r="F21" s="5"/>
      <c r="G21" s="5"/>
      <c r="H21" s="5"/>
      <c r="I21" s="5"/>
      <c r="J21" s="5"/>
      <c r="K21" s="4"/>
    </row>
    <row r="22" spans="2:11" ht="15">
      <c r="B22" s="4" t="s">
        <v>133</v>
      </c>
      <c r="C22" s="5">
        <f>(C5-'04 Zásoby'!C6)/C9</f>
        <v>0.65341173744955749</v>
      </c>
      <c r="D22" s="5">
        <f>(D5-'04 Zásoby'!D6)/D9</f>
        <v>0.49600955157444493</v>
      </c>
      <c r="E22" s="5">
        <f t="shared" si="2"/>
        <v>-0.15740218587511257</v>
      </c>
      <c r="F22" s="5"/>
      <c r="G22" s="5"/>
      <c r="H22" s="5"/>
      <c r="I22" s="5"/>
      <c r="J22" s="5"/>
      <c r="K22" s="4"/>
    </row>
    <row r="23" spans="2:11" ht="15"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2:11" ht="15"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2:11">
      <c r="B25" s="10" t="s">
        <v>134</v>
      </c>
      <c r="C25" s="10"/>
      <c r="D25" s="10"/>
      <c r="E25" s="10"/>
      <c r="F25" s="10"/>
      <c r="G25" s="10"/>
      <c r="H25" s="10"/>
      <c r="I25" s="10"/>
      <c r="J25" s="10"/>
      <c r="K25" s="10"/>
    </row>
    <row r="26" spans="2:11" ht="15"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2:11" ht="15"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2:11" ht="15"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2:11" ht="15"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2:11" ht="15"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2:11" ht="15"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2:11" ht="15"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2:11" ht="15"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2:11" ht="15"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2:11" ht="15"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2:11" ht="15"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2:11" ht="15"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2:11" ht="15"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2:11" ht="15"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2:11" ht="15"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2:11" ht="15"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2:11" ht="15"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2:11" ht="15"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2:11" ht="15"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2:11" ht="1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2:11" ht="15"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2:11" ht="15"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2:11" ht="15"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2:11" ht="15"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2:11" ht="15"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2:11" ht="15"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2:11" ht="15"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2:11" ht="15"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2:11" ht="15"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2:11" ht="15"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2:11" ht="15"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2:11" ht="15"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2:11" ht="15"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2:11" ht="15"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2:11" ht="15"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2:11" ht="15"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2:11" ht="15"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2:11" ht="15"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2:11" ht="15"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2:11" ht="15"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2:11" ht="15"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2:11" ht="15"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2:11" ht="15"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2:11" ht="15"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2:11" ht="15"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2:11" ht="15"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2:11" ht="15"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2:11" ht="15"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2:11" ht="15"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2:11" ht="15"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2:11" ht="15"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2:11" ht="15"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2:11" ht="15"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2:11" ht="15"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2:11" ht="15"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2:11" ht="15"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2:11" ht="15"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2:11" ht="15"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2:11" ht="15"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2:11" ht="15"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2:11" ht="15"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2:11" ht="15"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2:11" ht="15"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2:11" ht="15"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2:11" ht="15"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2:11" ht="15"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2:11" ht="15"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2:11" ht="15"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2:11" ht="15"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2:11" ht="15"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2:11" ht="15"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2:11" ht="15"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2:11" ht="15"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2:11" ht="15"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2:11" ht="15"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spans="2:11" ht="15"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spans="2:11" ht="15"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spans="2:11" ht="15"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2:11" ht="15"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2:11" ht="15"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2:11" ht="15"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2:11" ht="15"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2:11" ht="15"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2:11" ht="15"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2:11" ht="15"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2:11" ht="15"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2:11" ht="15"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2:11" ht="15"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2:11" ht="15"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2:11" ht="15"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2:11" ht="15"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2:11" ht="15"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2:11" ht="15"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2:11" ht="15"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2:11" ht="15"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2:11" ht="15"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2:11" ht="15"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2:11" ht="15"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2:11" ht="15"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2:11" ht="15">
      <c r="B125" s="4"/>
      <c r="C125" s="4"/>
      <c r="D125" s="4"/>
      <c r="E125" s="4"/>
      <c r="F125" s="4"/>
      <c r="G125" s="4"/>
      <c r="H125" s="4"/>
      <c r="I125" s="4"/>
      <c r="J125" s="4"/>
      <c r="K125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K125"/>
  <sheetViews>
    <sheetView showGridLines="0" topLeftCell="A6" workbookViewId="0"/>
  </sheetViews>
  <sheetFormatPr defaultRowHeight="14.25"/>
  <cols>
    <col min="1" max="1" width="2.5" style="13" customWidth="1"/>
    <col min="2" max="2" width="42.5" style="13" customWidth="1"/>
    <col min="3" max="10" width="16.625" style="13" customWidth="1"/>
    <col min="11" max="11" width="23.75" style="13" customWidth="1"/>
    <col min="12" max="16384" width="9" style="13"/>
  </cols>
  <sheetData>
    <row r="1" spans="2:11" ht="15" customHeight="1"/>
    <row r="2" spans="2:11" ht="21.75" customHeight="1">
      <c r="B2" s="3" t="s">
        <v>135</v>
      </c>
      <c r="C2" s="3"/>
      <c r="D2" s="3"/>
      <c r="E2" s="3"/>
      <c r="F2" s="3"/>
      <c r="G2" s="4"/>
      <c r="H2" s="4"/>
      <c r="I2" s="4"/>
      <c r="J2" s="4"/>
      <c r="K2" s="4"/>
    </row>
    <row r="3" spans="2:11" ht="18.75" customHeight="1">
      <c r="B3" s="1" t="s">
        <v>30</v>
      </c>
      <c r="C3" s="1">
        <v>2024</v>
      </c>
      <c r="D3" s="1">
        <v>2025</v>
      </c>
      <c r="E3" s="1" t="s">
        <v>33</v>
      </c>
      <c r="F3" s="1" t="s">
        <v>34</v>
      </c>
      <c r="G3" s="4"/>
      <c r="H3" s="4"/>
      <c r="I3" s="4"/>
      <c r="J3" s="4"/>
      <c r="K3" s="4"/>
    </row>
    <row r="4" spans="2:11" ht="15">
      <c r="B4" s="7" t="s">
        <v>136</v>
      </c>
      <c r="C4" s="8">
        <v>1676086</v>
      </c>
      <c r="D4" s="8">
        <v>1216853</v>
      </c>
      <c r="E4" s="8">
        <f t="shared" ref="E4:E9" si="0">D4-C4</f>
        <v>-459233</v>
      </c>
      <c r="F4" s="9">
        <f>IFERROR(D4/C4-1,0)</f>
        <v>-0.27399131070840044</v>
      </c>
      <c r="G4" s="11"/>
      <c r="H4" s="11"/>
      <c r="I4" s="5"/>
      <c r="J4" s="5"/>
      <c r="K4" s="4"/>
    </row>
    <row r="5" spans="2:11" ht="15">
      <c r="B5" s="7" t="s">
        <v>137</v>
      </c>
      <c r="C5" s="8">
        <v>-2335818</v>
      </c>
      <c r="D5" s="8">
        <v>-1872133</v>
      </c>
      <c r="E5" s="8">
        <f t="shared" si="0"/>
        <v>463685</v>
      </c>
      <c r="F5" s="9">
        <f>IFERROR(D5/C5-1,0)</f>
        <v>-0.19851075725934131</v>
      </c>
      <c r="G5" s="11"/>
      <c r="H5" s="11"/>
      <c r="I5" s="5"/>
      <c r="J5" s="5"/>
      <c r="K5" s="4"/>
    </row>
    <row r="6" spans="2:11" ht="15">
      <c r="B6" s="7" t="s">
        <v>138</v>
      </c>
      <c r="C6" s="8">
        <v>809656</v>
      </c>
      <c r="D6" s="8">
        <v>79158</v>
      </c>
      <c r="E6" s="8">
        <f t="shared" si="0"/>
        <v>-730498</v>
      </c>
      <c r="F6" s="9">
        <f>IFERROR(D6/C6-1,0)</f>
        <v>-0.90223255308427286</v>
      </c>
      <c r="G6" s="11"/>
      <c r="H6" s="11"/>
      <c r="I6" s="5"/>
      <c r="J6" s="5"/>
      <c r="K6" s="4"/>
    </row>
    <row r="7" spans="2:11" ht="15">
      <c r="B7" s="4" t="s">
        <v>139</v>
      </c>
      <c r="C7" s="5">
        <v>8976</v>
      </c>
      <c r="D7" s="5">
        <v>-19159</v>
      </c>
      <c r="E7" s="5">
        <f t="shared" si="0"/>
        <v>-28135</v>
      </c>
      <c r="F7" s="6">
        <f>IFERROR(D7/C7-1,0)</f>
        <v>-3.1344696969696968</v>
      </c>
      <c r="G7" s="14"/>
      <c r="H7" s="14"/>
      <c r="I7" s="5"/>
      <c r="J7" s="5"/>
      <c r="K7" s="4"/>
    </row>
    <row r="8" spans="2:11" ht="15">
      <c r="B8" s="7" t="s">
        <v>140</v>
      </c>
      <c r="C8" s="8">
        <f>SUM(C4:C7)</f>
        <v>158900</v>
      </c>
      <c r="D8" s="8">
        <f>SUM(D4:D7)</f>
        <v>-595281</v>
      </c>
      <c r="E8" s="8">
        <f t="shared" si="0"/>
        <v>-754181</v>
      </c>
      <c r="F8" s="8"/>
      <c r="G8" s="11"/>
      <c r="H8" s="11"/>
      <c r="I8" s="5"/>
      <c r="J8" s="5"/>
      <c r="K8" s="4"/>
    </row>
    <row r="9" spans="2:11" ht="15">
      <c r="B9" s="4" t="s">
        <v>141</v>
      </c>
      <c r="C9" s="5">
        <v>1071099</v>
      </c>
      <c r="D9" s="5">
        <v>1229999</v>
      </c>
      <c r="E9" s="5">
        <f t="shared" si="0"/>
        <v>158900</v>
      </c>
      <c r="F9" s="6">
        <f>IFERROR(D9/C9-1,0)</f>
        <v>0.14835229983409559</v>
      </c>
      <c r="G9" s="14"/>
      <c r="H9" s="14"/>
      <c r="I9" s="5"/>
      <c r="J9" s="5"/>
      <c r="K9" s="4"/>
    </row>
    <row r="10" spans="2:11" ht="15">
      <c r="B10" s="7" t="s">
        <v>142</v>
      </c>
      <c r="C10" s="8">
        <f>C9+C8</f>
        <v>1229999</v>
      </c>
      <c r="D10" s="8">
        <f>D9+D8</f>
        <v>634718</v>
      </c>
      <c r="E10" s="8"/>
      <c r="F10" s="8"/>
      <c r="G10" s="11"/>
      <c r="H10" s="11"/>
      <c r="I10" s="5"/>
      <c r="J10" s="5"/>
      <c r="K10" s="4"/>
    </row>
    <row r="11" spans="2:11" ht="15">
      <c r="B11" s="7" t="s">
        <v>143</v>
      </c>
      <c r="C11" s="8">
        <v>1229999</v>
      </c>
      <c r="D11" s="8">
        <v>634718</v>
      </c>
      <c r="E11" s="8">
        <f>D11-C11</f>
        <v>-595281</v>
      </c>
      <c r="F11" s="9">
        <f>IFERROR(D11/C11-1,0)</f>
        <v>-0.48396868615340338</v>
      </c>
      <c r="G11" s="11"/>
      <c r="H11" s="11"/>
      <c r="I11" s="5"/>
      <c r="J11" s="5"/>
      <c r="K11" s="4"/>
    </row>
    <row r="12" spans="2:11" ht="15">
      <c r="B12" s="7" t="s">
        <v>144</v>
      </c>
      <c r="C12" s="8">
        <f>C10-C11</f>
        <v>0</v>
      </c>
      <c r="D12" s="8">
        <f>D10-D11</f>
        <v>0</v>
      </c>
      <c r="E12" s="8"/>
      <c r="F12" s="8"/>
      <c r="G12" s="11"/>
      <c r="H12" s="11"/>
      <c r="I12" s="5"/>
      <c r="J12" s="5"/>
      <c r="K12" s="4"/>
    </row>
    <row r="13" spans="2:11" ht="15"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2:11" ht="15">
      <c r="B14" s="4" t="s">
        <v>145</v>
      </c>
      <c r="C14" s="5">
        <v>824647</v>
      </c>
      <c r="D14" s="5">
        <v>1224456</v>
      </c>
      <c r="E14" s="5">
        <f>D14-C14</f>
        <v>399809</v>
      </c>
      <c r="F14" s="6">
        <f>IFERROR(D14/C14-1,0)</f>
        <v>0.48482441578032787</v>
      </c>
      <c r="G14" s="5"/>
      <c r="H14" s="5"/>
      <c r="I14" s="5"/>
      <c r="J14" s="5"/>
      <c r="K14" s="4"/>
    </row>
    <row r="15" spans="2:11" ht="15">
      <c r="B15" s="4" t="s">
        <v>146</v>
      </c>
      <c r="C15" s="5">
        <v>1438403</v>
      </c>
      <c r="D15" s="5">
        <v>625726</v>
      </c>
      <c r="E15" s="5">
        <f>D15-C15</f>
        <v>-812677</v>
      </c>
      <c r="F15" s="6">
        <f>IFERROR(D15/C15-1,0)</f>
        <v>-0.56498561251610291</v>
      </c>
      <c r="G15" s="5"/>
      <c r="H15" s="5"/>
      <c r="I15" s="5"/>
      <c r="J15" s="5"/>
      <c r="K15" s="4"/>
    </row>
    <row r="16" spans="2:11" ht="15">
      <c r="B16" s="4" t="s">
        <v>147</v>
      </c>
      <c r="C16" s="5">
        <v>317809</v>
      </c>
      <c r="D16" s="5">
        <v>508672</v>
      </c>
      <c r="E16" s="5">
        <f>D16-C16</f>
        <v>190863</v>
      </c>
      <c r="F16" s="6">
        <f>IFERROR(D16/C16-1,0)</f>
        <v>0.60055882621322865</v>
      </c>
      <c r="G16" s="5"/>
      <c r="H16" s="5"/>
      <c r="I16" s="5"/>
      <c r="J16" s="5"/>
      <c r="K16" s="4"/>
    </row>
    <row r="17" spans="2:11" ht="15">
      <c r="B17" s="4" t="s">
        <v>148</v>
      </c>
      <c r="C17" s="5">
        <v>293666</v>
      </c>
      <c r="D17" s="5">
        <v>259971</v>
      </c>
      <c r="E17" s="5">
        <f>D17-C17</f>
        <v>-33695</v>
      </c>
      <c r="F17" s="6">
        <f>IFERROR(D17/C17-1,0)</f>
        <v>-0.11473919350554707</v>
      </c>
      <c r="G17" s="5"/>
      <c r="H17" s="5"/>
      <c r="I17" s="5"/>
      <c r="J17" s="5"/>
      <c r="K17" s="4"/>
    </row>
    <row r="18" spans="2:11" ht="15">
      <c r="B18" s="4" t="s">
        <v>149</v>
      </c>
      <c r="C18" s="5">
        <v>147215</v>
      </c>
      <c r="D18" s="5">
        <v>148433</v>
      </c>
      <c r="E18" s="5">
        <f>D18-C18</f>
        <v>1218</v>
      </c>
      <c r="F18" s="6">
        <f>IFERROR(D18/C18-1,0)</f>
        <v>8.2736134225451785E-3</v>
      </c>
      <c r="G18" s="5"/>
      <c r="H18" s="5"/>
      <c r="I18" s="5"/>
      <c r="J18" s="5"/>
      <c r="K18" s="4"/>
    </row>
    <row r="19" spans="2:11" ht="15"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2:11" ht="15"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2:11" ht="21.75" customHeight="1">
      <c r="B21" s="3" t="s">
        <v>150</v>
      </c>
      <c r="C21" s="3"/>
      <c r="D21" s="3"/>
      <c r="E21" s="3"/>
      <c r="F21" s="3"/>
      <c r="G21" s="4"/>
      <c r="H21" s="4"/>
      <c r="I21" s="4"/>
      <c r="J21" s="4"/>
      <c r="K21" s="4"/>
    </row>
    <row r="22" spans="2:11" ht="18.75" customHeight="1">
      <c r="B22" s="1" t="s">
        <v>44</v>
      </c>
      <c r="C22" s="1">
        <v>2024</v>
      </c>
      <c r="D22" s="1">
        <v>2025</v>
      </c>
      <c r="E22" s="1" t="s">
        <v>33</v>
      </c>
      <c r="F22" s="4"/>
      <c r="G22" s="4"/>
      <c r="H22" s="4"/>
      <c r="I22" s="4"/>
      <c r="J22" s="4"/>
      <c r="K22" s="4"/>
    </row>
    <row r="23" spans="2:11" ht="15">
      <c r="B23" s="4" t="s">
        <v>151</v>
      </c>
      <c r="C23" s="5">
        <f>C4-C14</f>
        <v>851439</v>
      </c>
      <c r="D23" s="5">
        <f>D4-D14</f>
        <v>-7603</v>
      </c>
      <c r="E23" s="5">
        <f t="shared" ref="E23:E29" si="1">D23-C23</f>
        <v>-859042</v>
      </c>
      <c r="F23" s="5"/>
      <c r="G23" s="5"/>
      <c r="H23" s="5"/>
      <c r="I23" s="5"/>
      <c r="J23" s="5"/>
      <c r="K23" s="4"/>
    </row>
    <row r="24" spans="2:11" ht="15">
      <c r="B24" s="4" t="s">
        <v>152</v>
      </c>
      <c r="C24" s="5">
        <f>C23-C15</f>
        <v>-586964</v>
      </c>
      <c r="D24" s="5">
        <f>D23-D15</f>
        <v>-633329</v>
      </c>
      <c r="E24" s="5">
        <f t="shared" si="1"/>
        <v>-46365</v>
      </c>
      <c r="F24" s="5"/>
      <c r="G24" s="5"/>
      <c r="H24" s="5"/>
      <c r="I24" s="5"/>
      <c r="J24" s="5"/>
      <c r="K24" s="4"/>
    </row>
    <row r="25" spans="2:11" ht="15">
      <c r="B25" s="4" t="s">
        <v>153</v>
      </c>
      <c r="C25" s="6">
        <f>C4/ABS(C5)</f>
        <v>0.71755847416194241</v>
      </c>
      <c r="D25" s="6">
        <f>D4/ABS(D5)</f>
        <v>0.64998213267967608</v>
      </c>
      <c r="E25" s="6">
        <f t="shared" si="1"/>
        <v>-6.7576341482266322E-2</v>
      </c>
      <c r="F25" s="5"/>
      <c r="G25" s="5"/>
      <c r="H25" s="5"/>
      <c r="I25" s="5"/>
      <c r="J25" s="5"/>
      <c r="K25" s="4"/>
    </row>
    <row r="26" spans="2:11" ht="15">
      <c r="B26" s="4" t="s">
        <v>154</v>
      </c>
      <c r="C26" s="6">
        <f>C4/C14</f>
        <v>2.0324890528917221</v>
      </c>
      <c r="D26" s="6">
        <f>D4/D14</f>
        <v>0.99379071195698332</v>
      </c>
      <c r="E26" s="6">
        <f t="shared" si="1"/>
        <v>-1.0386983409347388</v>
      </c>
      <c r="F26" s="5"/>
      <c r="G26" s="5"/>
      <c r="H26" s="5"/>
      <c r="I26" s="5"/>
      <c r="J26" s="5"/>
      <c r="K26" s="4"/>
    </row>
    <row r="27" spans="2:11" ht="15">
      <c r="B27" s="4" t="s">
        <v>155</v>
      </c>
      <c r="C27" s="6">
        <f>C14/'02 Výsledovka'!C4</f>
        <v>7.4413508160520087E-2</v>
      </c>
      <c r="D27" s="6">
        <f>D14/'02 Výsledovka'!D4</f>
        <v>0.11385704434530916</v>
      </c>
      <c r="E27" s="6">
        <f t="shared" si="1"/>
        <v>3.9443536184789074E-2</v>
      </c>
      <c r="F27" s="5"/>
      <c r="G27" s="5"/>
      <c r="H27" s="5"/>
      <c r="I27" s="5"/>
      <c r="J27" s="5"/>
      <c r="K27" s="4"/>
    </row>
    <row r="28" spans="2:11" ht="15">
      <c r="B28" s="4" t="s">
        <v>156</v>
      </c>
      <c r="C28" s="5">
        <f>SUM(C16:C18)</f>
        <v>758690</v>
      </c>
      <c r="D28" s="5">
        <f>SUM(D16:D18)</f>
        <v>917076</v>
      </c>
      <c r="E28" s="5">
        <f t="shared" si="1"/>
        <v>158386</v>
      </c>
      <c r="F28" s="5"/>
      <c r="G28" s="5"/>
      <c r="H28" s="5"/>
      <c r="I28" s="5"/>
      <c r="J28" s="5"/>
      <c r="K28" s="4"/>
    </row>
    <row r="29" spans="2:11" ht="15">
      <c r="B29" s="4" t="s">
        <v>157</v>
      </c>
      <c r="C29" s="15">
        <f>C4/C28</f>
        <v>2.2091842518024492</v>
      </c>
      <c r="D29" s="15">
        <f>D4/D28</f>
        <v>1.3268834862105212</v>
      </c>
      <c r="E29" s="15">
        <f t="shared" si="1"/>
        <v>-0.88230076559192794</v>
      </c>
      <c r="F29" s="5"/>
      <c r="G29" s="5"/>
      <c r="H29" s="5"/>
      <c r="I29" s="5"/>
      <c r="J29" s="5"/>
      <c r="K29" s="4"/>
    </row>
    <row r="30" spans="2:11" ht="15"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2:11" ht="15"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2:11">
      <c r="B32" s="10" t="s">
        <v>158</v>
      </c>
      <c r="C32" s="10"/>
      <c r="D32" s="10"/>
      <c r="E32" s="10"/>
      <c r="F32" s="10"/>
      <c r="G32" s="10"/>
      <c r="H32" s="10"/>
      <c r="I32" s="10"/>
      <c r="J32" s="10"/>
      <c r="K32" s="10"/>
    </row>
    <row r="33" spans="2:11" ht="15"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2:11" ht="15"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2:11" ht="15"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2:11" ht="15"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2:11" ht="15"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2:11" ht="15"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2:11" ht="15"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2:11" ht="15"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2:11" ht="15"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2:11" ht="15"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2:11" ht="15"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2:11" ht="15"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2:11" ht="1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2:11" ht="15"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2:11" ht="15"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2:11" ht="15"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2:11" ht="15"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2:11" ht="15"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2:11" ht="15"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2:11" ht="15"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2:11" ht="15"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2:11" ht="15"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2:11" ht="15"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2:11" ht="15"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2:11" ht="15"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2:11" ht="15"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2:11" ht="15"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2:11" ht="15"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2:11" ht="15"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2:11" ht="15"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2:11" ht="15"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2:11" ht="15"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2:11" ht="15"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2:11" ht="15"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2:11" ht="15"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2:11" ht="15"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2:11" ht="15"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2:11" ht="15"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2:11" ht="15"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2:11" ht="15"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2:11" ht="15"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2:11" ht="15"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2:11" ht="15"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2:11" ht="15"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2:11" ht="15"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2:11" ht="15"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2:11" ht="15"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2:11" ht="15"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2:11" ht="15"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2:11" ht="15"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2:11" ht="15"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2:11" ht="15"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2:11" ht="15"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2:11" ht="15"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2:11" ht="15"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2:11" ht="15"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2:11" ht="15"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2:11" ht="15"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2:11" ht="15"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2:11" ht="15"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2:11" ht="15"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2:11" ht="15"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2:11" ht="15"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2:11" ht="15"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2:11" ht="15"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2:11" ht="15"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2:11" ht="15"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2:11" ht="15"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spans="2:11" ht="15"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spans="2:11" ht="15"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spans="2:11" ht="15"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2:11" ht="15"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2:11" ht="15"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2:11" ht="15"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2:11" ht="15"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2:11" ht="15"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2:11" ht="15"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2:11" ht="15"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2:11" ht="15"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2:11" ht="15"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2:11" ht="15"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2:11" ht="15"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2:11" ht="15"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2:11" ht="15"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2:11" ht="15"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2:11" ht="15"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2:11" ht="15"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2:11" ht="15"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2:11" ht="15"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2:11" ht="15"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2:11" ht="15"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2:11" ht="15"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2:11" ht="15">
      <c r="B125" s="4"/>
      <c r="C125" s="4"/>
      <c r="D125" s="4"/>
      <c r="E125" s="4"/>
      <c r="F125" s="4"/>
      <c r="G125" s="4"/>
      <c r="H125" s="4"/>
      <c r="I125" s="4"/>
      <c r="J125" s="4"/>
      <c r="K125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K125"/>
  <sheetViews>
    <sheetView showGridLines="0" topLeftCell="A11" workbookViewId="0"/>
  </sheetViews>
  <sheetFormatPr defaultRowHeight="14.25"/>
  <cols>
    <col min="1" max="1" width="2.5" style="13" customWidth="1"/>
    <col min="2" max="2" width="42.5" style="13" customWidth="1"/>
    <col min="3" max="10" width="16.625" style="13" customWidth="1"/>
    <col min="11" max="11" width="23.75" style="13" customWidth="1"/>
    <col min="12" max="16384" width="9" style="13"/>
  </cols>
  <sheetData>
    <row r="1" spans="2:11" ht="15" customHeight="1"/>
    <row r="2" spans="2:11" ht="21.75" customHeight="1">
      <c r="B2" s="3" t="s">
        <v>159</v>
      </c>
      <c r="C2" s="3"/>
      <c r="D2" s="3"/>
      <c r="E2" s="3"/>
      <c r="F2" s="3"/>
      <c r="G2" s="3"/>
      <c r="H2" s="3"/>
      <c r="I2" s="3"/>
      <c r="J2" s="4"/>
      <c r="K2" s="4"/>
    </row>
    <row r="3" spans="2:11" ht="18.75" customHeight="1">
      <c r="B3" s="1" t="s">
        <v>88</v>
      </c>
      <c r="C3" s="1" t="s">
        <v>160</v>
      </c>
      <c r="D3" s="1" t="s">
        <v>161</v>
      </c>
      <c r="E3" s="1" t="s">
        <v>162</v>
      </c>
      <c r="F3" s="1" t="s">
        <v>163</v>
      </c>
      <c r="G3" s="1" t="s">
        <v>164</v>
      </c>
      <c r="H3" s="1" t="s">
        <v>165</v>
      </c>
      <c r="I3" s="1" t="s">
        <v>166</v>
      </c>
      <c r="J3" s="4"/>
      <c r="K3" s="4"/>
    </row>
    <row r="4" spans="2:11" ht="15">
      <c r="B4" s="19" t="s">
        <v>167</v>
      </c>
      <c r="C4" s="20">
        <v>1576825</v>
      </c>
      <c r="D4" s="20">
        <v>9555</v>
      </c>
      <c r="E4" s="20">
        <v>-197</v>
      </c>
      <c r="F4" s="20">
        <v>801</v>
      </c>
      <c r="G4" s="20">
        <v>12</v>
      </c>
      <c r="H4" s="20">
        <v>1586996</v>
      </c>
      <c r="I4" s="20">
        <v>1586996</v>
      </c>
      <c r="J4" s="5"/>
      <c r="K4" s="4"/>
    </row>
    <row r="5" spans="2:11" ht="15">
      <c r="B5" s="19" t="s">
        <v>168</v>
      </c>
      <c r="C5" s="20">
        <v>659537</v>
      </c>
      <c r="D5" s="20">
        <v>1172872</v>
      </c>
      <c r="E5" s="20">
        <v>4215445</v>
      </c>
      <c r="F5" s="20">
        <v>39568</v>
      </c>
      <c r="G5" s="20">
        <v>0</v>
      </c>
      <c r="H5" s="20">
        <v>6087422</v>
      </c>
      <c r="I5" s="20">
        <v>5577433</v>
      </c>
      <c r="J5" s="5"/>
      <c r="K5" s="4"/>
    </row>
    <row r="6" spans="2:11" ht="15">
      <c r="B6" s="19" t="s">
        <v>169</v>
      </c>
      <c r="C6" s="20">
        <v>43287</v>
      </c>
      <c r="D6" s="20">
        <v>126639</v>
      </c>
      <c r="E6" s="20">
        <v>173834</v>
      </c>
      <c r="F6" s="20">
        <v>189949</v>
      </c>
      <c r="G6" s="20">
        <v>88652</v>
      </c>
      <c r="H6" s="20">
        <v>622361</v>
      </c>
      <c r="I6" s="20">
        <v>542644</v>
      </c>
      <c r="J6" s="5"/>
      <c r="K6" s="4"/>
    </row>
    <row r="7" spans="2:11" ht="15">
      <c r="B7" s="19" t="s">
        <v>170</v>
      </c>
      <c r="C7" s="20">
        <v>324057</v>
      </c>
      <c r="D7" s="20">
        <v>0</v>
      </c>
      <c r="E7" s="20">
        <v>6915</v>
      </c>
      <c r="F7" s="20">
        <v>0</v>
      </c>
      <c r="G7" s="20">
        <v>0</v>
      </c>
      <c r="H7" s="20">
        <v>330972</v>
      </c>
      <c r="I7" s="20">
        <v>330972</v>
      </c>
      <c r="J7" s="5"/>
      <c r="K7" s="4"/>
    </row>
    <row r="8" spans="2:11" ht="15">
      <c r="B8" s="19" t="s">
        <v>171</v>
      </c>
      <c r="C8" s="20">
        <v>119525</v>
      </c>
      <c r="D8" s="20">
        <v>47122</v>
      </c>
      <c r="E8" s="20">
        <v>25462</v>
      </c>
      <c r="F8" s="20">
        <v>2942</v>
      </c>
      <c r="G8" s="20">
        <v>67068</v>
      </c>
      <c r="H8" s="20">
        <v>262119</v>
      </c>
      <c r="I8" s="20">
        <v>262119</v>
      </c>
      <c r="J8" s="5"/>
      <c r="K8" s="4"/>
    </row>
    <row r="9" spans="2:11" ht="15">
      <c r="B9" s="21" t="s">
        <v>172</v>
      </c>
      <c r="C9" s="22">
        <f t="shared" ref="C9:I9" si="0">SUM(C4:C8)</f>
        <v>2723231</v>
      </c>
      <c r="D9" s="22">
        <f t="shared" si="0"/>
        <v>1356188</v>
      </c>
      <c r="E9" s="22">
        <f t="shared" si="0"/>
        <v>4421459</v>
      </c>
      <c r="F9" s="22">
        <f t="shared" si="0"/>
        <v>233260</v>
      </c>
      <c r="G9" s="22">
        <f t="shared" si="0"/>
        <v>155732</v>
      </c>
      <c r="H9" s="22">
        <f t="shared" si="0"/>
        <v>8889870</v>
      </c>
      <c r="I9" s="24">
        <f t="shared" si="0"/>
        <v>8300164</v>
      </c>
      <c r="J9" s="5"/>
      <c r="K9" s="4"/>
    </row>
    <row r="10" spans="2:11" ht="15">
      <c r="B10" s="19"/>
      <c r="C10" s="19"/>
      <c r="D10" s="19"/>
      <c r="E10" s="19"/>
      <c r="F10" s="19"/>
      <c r="G10" s="19"/>
      <c r="H10" s="19"/>
      <c r="I10" s="19"/>
      <c r="J10" s="4"/>
      <c r="K10" s="4"/>
    </row>
    <row r="11" spans="2:11" ht="15"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2:11" ht="21.75" customHeight="1">
      <c r="B12" s="3" t="s">
        <v>173</v>
      </c>
      <c r="C12" s="3"/>
      <c r="D12" s="3"/>
      <c r="E12" s="3"/>
      <c r="F12" s="3"/>
      <c r="G12" s="3"/>
      <c r="H12" s="3"/>
      <c r="I12" s="3"/>
      <c r="J12" s="4"/>
      <c r="K12" s="4"/>
    </row>
    <row r="13" spans="2:11" ht="18.75" customHeight="1">
      <c r="B13" s="1" t="s">
        <v>88</v>
      </c>
      <c r="C13" s="1" t="s">
        <v>160</v>
      </c>
      <c r="D13" s="1" t="s">
        <v>161</v>
      </c>
      <c r="E13" s="1" t="s">
        <v>162</v>
      </c>
      <c r="F13" s="1" t="s">
        <v>163</v>
      </c>
      <c r="G13" s="1" t="s">
        <v>164</v>
      </c>
      <c r="H13" s="1" t="s">
        <v>165</v>
      </c>
      <c r="I13" s="1" t="s">
        <v>166</v>
      </c>
      <c r="J13" s="4"/>
      <c r="K13" s="4"/>
    </row>
    <row r="14" spans="2:11" ht="15">
      <c r="B14" s="18" t="s">
        <v>167</v>
      </c>
      <c r="C14" s="14">
        <v>1685099</v>
      </c>
      <c r="D14" s="14">
        <v>9909</v>
      </c>
      <c r="E14" s="14">
        <v>309</v>
      </c>
      <c r="F14" s="14">
        <v>0</v>
      </c>
      <c r="G14" s="14">
        <v>0</v>
      </c>
      <c r="H14" s="14">
        <v>1695317</v>
      </c>
      <c r="I14" s="14">
        <v>1695317</v>
      </c>
      <c r="J14" s="5"/>
      <c r="K14" s="4"/>
    </row>
    <row r="15" spans="2:11" ht="15">
      <c r="B15" s="18" t="s">
        <v>168</v>
      </c>
      <c r="C15" s="14">
        <v>171080</v>
      </c>
      <c r="D15" s="14">
        <v>1194010</v>
      </c>
      <c r="E15" s="14">
        <v>3957745</v>
      </c>
      <c r="F15" s="14">
        <v>48700</v>
      </c>
      <c r="G15" s="14">
        <v>0</v>
      </c>
      <c r="H15" s="14">
        <v>5371535</v>
      </c>
      <c r="I15" s="14">
        <v>4769045</v>
      </c>
      <c r="J15" s="5"/>
      <c r="K15" s="4"/>
    </row>
    <row r="16" spans="2:11" ht="15">
      <c r="B16" s="18" t="s">
        <v>169</v>
      </c>
      <c r="C16" s="14">
        <v>30746</v>
      </c>
      <c r="D16" s="14">
        <v>98748</v>
      </c>
      <c r="E16" s="14">
        <v>125083</v>
      </c>
      <c r="F16" s="14">
        <v>175464</v>
      </c>
      <c r="G16" s="14">
        <v>88845</v>
      </c>
      <c r="H16" s="14">
        <v>518886</v>
      </c>
      <c r="I16" s="14">
        <v>414626</v>
      </c>
      <c r="J16" s="5"/>
      <c r="K16" s="4"/>
    </row>
    <row r="17" spans="2:11" ht="15">
      <c r="B17" s="18" t="s">
        <v>170</v>
      </c>
      <c r="C17" s="14">
        <v>308992</v>
      </c>
      <c r="D17" s="14">
        <v>0</v>
      </c>
      <c r="E17" s="14">
        <v>7335</v>
      </c>
      <c r="F17" s="14">
        <v>0</v>
      </c>
      <c r="G17" s="14">
        <v>0</v>
      </c>
      <c r="H17" s="14">
        <v>316327</v>
      </c>
      <c r="I17" s="14">
        <v>316327</v>
      </c>
      <c r="J17" s="5"/>
      <c r="K17" s="4"/>
    </row>
    <row r="18" spans="2:11" ht="15">
      <c r="B18" s="18" t="s">
        <v>171</v>
      </c>
      <c r="C18" s="14">
        <v>103623</v>
      </c>
      <c r="D18" s="14">
        <v>149861</v>
      </c>
      <c r="E18" s="14">
        <v>52180</v>
      </c>
      <c r="F18" s="14">
        <v>8471</v>
      </c>
      <c r="G18" s="14">
        <v>161405</v>
      </c>
      <c r="H18" s="14">
        <v>475540</v>
      </c>
      <c r="I18" s="14">
        <v>475540</v>
      </c>
      <c r="J18" s="5"/>
      <c r="K18" s="4"/>
    </row>
    <row r="19" spans="2:11" ht="15">
      <c r="B19" s="25" t="s">
        <v>172</v>
      </c>
      <c r="C19" s="26">
        <f t="shared" ref="C19:I19" si="1">SUM(C14:C18)</f>
        <v>2299540</v>
      </c>
      <c r="D19" s="26">
        <f t="shared" si="1"/>
        <v>1452528</v>
      </c>
      <c r="E19" s="26">
        <f t="shared" si="1"/>
        <v>4142652</v>
      </c>
      <c r="F19" s="26">
        <f t="shared" si="1"/>
        <v>232635</v>
      </c>
      <c r="G19" s="26">
        <f t="shared" si="1"/>
        <v>250250</v>
      </c>
      <c r="H19" s="26">
        <f t="shared" si="1"/>
        <v>8377605</v>
      </c>
      <c r="I19" s="27">
        <f t="shared" si="1"/>
        <v>7670855</v>
      </c>
      <c r="J19" s="5"/>
      <c r="K19" s="4"/>
    </row>
    <row r="20" spans="2:11" ht="15"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2:11" ht="15"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2:11" ht="21.75" customHeight="1">
      <c r="B22" s="3" t="s">
        <v>174</v>
      </c>
      <c r="C22" s="3"/>
      <c r="D22" s="3"/>
      <c r="E22" s="3"/>
      <c r="F22" s="3"/>
      <c r="G22" s="4"/>
      <c r="H22" s="4"/>
      <c r="I22" s="4"/>
      <c r="J22" s="4"/>
      <c r="K22" s="4"/>
    </row>
    <row r="23" spans="2:11" ht="18.75" customHeight="1">
      <c r="B23" s="1" t="s">
        <v>44</v>
      </c>
      <c r="C23" s="1">
        <v>2024</v>
      </c>
      <c r="D23" s="1">
        <v>2025</v>
      </c>
      <c r="E23" s="1" t="s">
        <v>33</v>
      </c>
      <c r="F23" s="1" t="s">
        <v>34</v>
      </c>
      <c r="G23" s="4"/>
      <c r="H23" s="4"/>
      <c r="I23" s="4"/>
      <c r="J23" s="4"/>
      <c r="K23" s="4"/>
    </row>
    <row r="24" spans="2:11" ht="15">
      <c r="B24" s="7" t="s">
        <v>175</v>
      </c>
      <c r="C24" s="8">
        <f>SUM(C15:D15)</f>
        <v>1365090</v>
      </c>
      <c r="D24" s="8">
        <f>SUM(C5:D5)</f>
        <v>1832409</v>
      </c>
      <c r="E24" s="8">
        <f t="shared" ref="E24:E33" si="2">D24-C24</f>
        <v>467319</v>
      </c>
      <c r="F24" s="9">
        <f t="shared" ref="F24:F30" si="3">D24/C24-1</f>
        <v>0.34233567017559285</v>
      </c>
      <c r="G24" s="11"/>
      <c r="H24" s="11"/>
      <c r="I24" s="5"/>
      <c r="J24" s="5"/>
      <c r="K24" s="4"/>
    </row>
    <row r="25" spans="2:11" ht="15">
      <c r="B25" s="4" t="s">
        <v>176</v>
      </c>
      <c r="C25" s="5">
        <f>E15</f>
        <v>3957745</v>
      </c>
      <c r="D25" s="5">
        <f>E5</f>
        <v>4215445</v>
      </c>
      <c r="E25" s="5">
        <f t="shared" si="2"/>
        <v>257700</v>
      </c>
      <c r="F25" s="6">
        <f t="shared" si="3"/>
        <v>6.5112835718319495E-2</v>
      </c>
      <c r="G25" s="5"/>
      <c r="H25" s="5"/>
      <c r="I25" s="5"/>
      <c r="J25" s="5"/>
      <c r="K25" s="4"/>
    </row>
    <row r="26" spans="2:11" ht="15">
      <c r="B26" s="4" t="s">
        <v>177</v>
      </c>
      <c r="C26" s="5">
        <f>I15</f>
        <v>4769045</v>
      </c>
      <c r="D26" s="5">
        <f>I5</f>
        <v>5577433</v>
      </c>
      <c r="E26" s="5">
        <f t="shared" si="2"/>
        <v>808388</v>
      </c>
      <c r="F26" s="6">
        <f t="shared" si="3"/>
        <v>0.16950731226063076</v>
      </c>
      <c r="G26" s="5"/>
      <c r="H26" s="5"/>
      <c r="I26" s="5"/>
      <c r="J26" s="5"/>
      <c r="K26" s="4"/>
    </row>
    <row r="27" spans="2:11" ht="15">
      <c r="B27" s="4" t="s">
        <v>178</v>
      </c>
      <c r="C27" s="5">
        <f>I16</f>
        <v>414626</v>
      </c>
      <c r="D27" s="5">
        <f>I6</f>
        <v>542644</v>
      </c>
      <c r="E27" s="5">
        <f t="shared" si="2"/>
        <v>128018</v>
      </c>
      <c r="F27" s="6">
        <f t="shared" si="3"/>
        <v>0.30875536025237205</v>
      </c>
      <c r="G27" s="5"/>
      <c r="H27" s="5"/>
      <c r="I27" s="5"/>
      <c r="J27" s="5"/>
      <c r="K27" s="4"/>
    </row>
    <row r="28" spans="2:11" ht="15">
      <c r="B28" s="4" t="s">
        <v>179</v>
      </c>
      <c r="C28" s="5">
        <f>'07 Rozvaha a likvidita'!C12</f>
        <v>1229999</v>
      </c>
      <c r="D28" s="5">
        <f>'07 Rozvaha a likvidita'!D12</f>
        <v>634718</v>
      </c>
      <c r="E28" s="5">
        <f t="shared" si="2"/>
        <v>-595281</v>
      </c>
      <c r="F28" s="6">
        <f t="shared" si="3"/>
        <v>-0.48396868615340338</v>
      </c>
      <c r="G28" s="5"/>
      <c r="H28" s="5"/>
      <c r="I28" s="5"/>
      <c r="J28" s="5"/>
      <c r="K28" s="4"/>
    </row>
    <row r="29" spans="2:11" ht="15">
      <c r="B29" s="4" t="s">
        <v>180</v>
      </c>
      <c r="C29" s="5">
        <f>C26+C27-C28</f>
        <v>3953672</v>
      </c>
      <c r="D29" s="5">
        <f>D26+D27-D28</f>
        <v>5485359</v>
      </c>
      <c r="E29" s="5">
        <f t="shared" si="2"/>
        <v>1531687</v>
      </c>
      <c r="F29" s="6">
        <f t="shared" si="3"/>
        <v>0.38740871776920294</v>
      </c>
      <c r="G29" s="5"/>
      <c r="H29" s="5"/>
      <c r="I29" s="5"/>
      <c r="J29" s="5"/>
      <c r="K29" s="4"/>
    </row>
    <row r="30" spans="2:11" ht="15">
      <c r="B30" s="4" t="s">
        <v>181</v>
      </c>
      <c r="C30" s="5">
        <v>1850994</v>
      </c>
      <c r="D30" s="5">
        <v>1816444</v>
      </c>
      <c r="E30" s="5">
        <f t="shared" si="2"/>
        <v>-34550</v>
      </c>
      <c r="F30" s="6">
        <f t="shared" si="3"/>
        <v>-1.866564667416537E-2</v>
      </c>
      <c r="G30" s="5"/>
      <c r="H30" s="5"/>
      <c r="I30" s="5"/>
      <c r="J30" s="5"/>
      <c r="K30" s="4"/>
    </row>
    <row r="31" spans="2:11" ht="15">
      <c r="B31" s="4" t="s">
        <v>182</v>
      </c>
      <c r="C31" s="15">
        <f>C29/C30</f>
        <v>2.1359723478304091</v>
      </c>
      <c r="D31" s="15">
        <f>D29/D30</f>
        <v>3.0198338071528767</v>
      </c>
      <c r="E31" s="15">
        <f t="shared" si="2"/>
        <v>0.88386145932246762</v>
      </c>
      <c r="F31" s="5"/>
      <c r="G31" s="5"/>
      <c r="H31" s="5"/>
      <c r="I31" s="5"/>
      <c r="J31" s="5"/>
      <c r="K31" s="4"/>
    </row>
    <row r="32" spans="2:11" ht="15">
      <c r="B32" s="4" t="s">
        <v>183</v>
      </c>
      <c r="C32" s="5">
        <v>318387</v>
      </c>
      <c r="D32" s="5">
        <v>66400</v>
      </c>
      <c r="E32" s="5">
        <f t="shared" si="2"/>
        <v>-251987</v>
      </c>
      <c r="F32" s="6">
        <f>D32/C32-1</f>
        <v>-0.791448771463659</v>
      </c>
      <c r="G32" s="5"/>
      <c r="H32" s="5"/>
      <c r="I32" s="5"/>
      <c r="J32" s="5"/>
      <c r="K32" s="4"/>
    </row>
    <row r="33" spans="2:11" ht="15">
      <c r="B33" s="4" t="s">
        <v>201</v>
      </c>
      <c r="C33" s="15">
        <f>'08 Peněžní toky'!C4/C34</f>
        <v>1.5562818656967949</v>
      </c>
      <c r="D33" s="15">
        <f>'08 Peněžní toky'!D4/D34</f>
        <v>0.80432829812787654</v>
      </c>
      <c r="E33" s="15">
        <f t="shared" si="2"/>
        <v>-0.7519535675689184</v>
      </c>
      <c r="F33" s="5"/>
      <c r="G33" s="5"/>
      <c r="H33" s="5"/>
      <c r="I33" s="5"/>
      <c r="J33" s="5"/>
      <c r="K33" s="4"/>
    </row>
    <row r="34" spans="2:11" ht="15">
      <c r="B34" s="4" t="s">
        <v>202</v>
      </c>
      <c r="C34" s="4">
        <v>1076981</v>
      </c>
      <c r="D34" s="4">
        <v>1512881</v>
      </c>
      <c r="E34" s="4"/>
      <c r="F34" s="4"/>
      <c r="G34" s="4"/>
      <c r="H34" s="4"/>
      <c r="I34" s="4"/>
      <c r="J34" s="4"/>
      <c r="K34" s="4"/>
    </row>
    <row r="35" spans="2:11" ht="15"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2:11">
      <c r="B36" s="10" t="s">
        <v>184</v>
      </c>
      <c r="C36" s="10"/>
      <c r="D36" s="10"/>
      <c r="E36" s="10"/>
      <c r="F36" s="10"/>
      <c r="G36" s="10"/>
      <c r="H36" s="10"/>
      <c r="I36" s="10"/>
      <c r="J36" s="10"/>
      <c r="K36" s="10"/>
    </row>
    <row r="37" spans="2:11" ht="15">
      <c r="B37" s="4" t="s">
        <v>203</v>
      </c>
      <c r="C37" s="4"/>
      <c r="D37" s="4"/>
      <c r="E37" s="4"/>
      <c r="F37" s="4"/>
      <c r="G37" s="4"/>
      <c r="H37" s="4"/>
      <c r="I37" s="4"/>
      <c r="J37" s="4"/>
      <c r="K37" s="4"/>
    </row>
    <row r="38" spans="2:11" ht="15">
      <c r="B38" s="4" t="s">
        <v>204</v>
      </c>
      <c r="C38" s="4"/>
      <c r="D38" s="4"/>
      <c r="E38" s="4"/>
      <c r="F38" s="4"/>
      <c r="G38" s="4"/>
      <c r="H38" s="4"/>
      <c r="I38" s="4"/>
      <c r="J38" s="4"/>
      <c r="K38" s="4"/>
    </row>
    <row r="39" spans="2:11" ht="15"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2:11" ht="15"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2:11" ht="15"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2:11" ht="15"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2:11" ht="15"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2:11" ht="15"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2:11" ht="1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2:11" ht="15"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2:11" ht="15"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2:11" ht="15"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2:11" ht="15"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2:11" ht="15"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2:11" ht="15"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2:11" ht="15"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2:11" ht="15"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2:11" ht="15"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2:11" ht="15"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2:11" ht="15"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2:11" ht="15"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2:11" ht="15"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2:11" ht="15"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2:11" ht="15"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2:11" ht="15"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2:11" ht="15"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2:11" ht="15"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2:11" ht="15"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2:11" ht="15"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2:11" ht="15"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2:11" ht="15"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2:11" ht="15"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2:11" ht="15"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2:11" ht="15"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2:11" ht="15"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2:11" ht="15"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2:11" ht="15"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2:11" ht="15"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2:11" ht="15"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2:11" ht="15"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2:11" ht="15"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2:11" ht="15"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2:11" ht="15"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2:11" ht="15"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2:11" ht="15"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2:11" ht="15"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2:11" ht="15"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2:11" ht="15"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2:11" ht="15"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2:11" ht="15"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2:11" ht="15"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2:11" ht="15"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2:11" ht="15"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2:11" ht="15"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2:11" ht="15"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2:11" ht="15"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2:11" ht="15"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2:11" ht="15"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2:11" ht="15"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2:11" ht="15"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2:11" ht="15"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2:11" ht="15"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2:11" ht="15"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2:11" ht="15"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spans="2:11" ht="15"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spans="2:11" ht="15"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spans="2:11" ht="15"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2:11" ht="15"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2:11" ht="15"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2:11" ht="15"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2:11" ht="15"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2:11" ht="15"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2:11" ht="15"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2:11" ht="15"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2:11" ht="15"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2:11" ht="15"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2:11" ht="15"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2:11" ht="15"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2:11" ht="15"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2:11" ht="15"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2:11" ht="15"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2:11" ht="15"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2:11" ht="15"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2:11" ht="15"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2:11" ht="15"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2:11" ht="15"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2:11" ht="15"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2:11" ht="15"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2:11" ht="15">
      <c r="B125" s="4"/>
      <c r="C125" s="4"/>
      <c r="D125" s="4"/>
      <c r="E125" s="4"/>
      <c r="F125" s="4"/>
      <c r="G125" s="4"/>
      <c r="H125" s="4"/>
      <c r="I125" s="4"/>
      <c r="J125" s="4"/>
      <c r="K125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K125"/>
  <sheetViews>
    <sheetView showGridLines="0" workbookViewId="0">
      <selection activeCell="G34" sqref="G34"/>
    </sheetView>
  </sheetViews>
  <sheetFormatPr defaultRowHeight="14.25"/>
  <cols>
    <col min="1" max="1" width="2.5" style="13" customWidth="1"/>
    <col min="2" max="2" width="42.5" style="13" customWidth="1"/>
    <col min="3" max="5" width="16.625" style="13" customWidth="1"/>
    <col min="6" max="6" width="28.75" style="13" customWidth="1"/>
    <col min="7" max="10" width="16.625" style="13" customWidth="1"/>
    <col min="11" max="11" width="23.75" style="13" customWidth="1"/>
    <col min="12" max="16384" width="9" style="13"/>
  </cols>
  <sheetData>
    <row r="1" spans="2:11" ht="15" customHeight="1"/>
    <row r="2" spans="2:11" ht="21.75" customHeight="1">
      <c r="B2" s="3" t="s">
        <v>185</v>
      </c>
      <c r="C2" s="3"/>
      <c r="D2" s="3"/>
      <c r="E2" s="3"/>
      <c r="F2" s="3"/>
      <c r="G2" s="4"/>
      <c r="H2" s="4"/>
      <c r="I2" s="4"/>
      <c r="J2" s="4"/>
      <c r="K2" s="4"/>
    </row>
    <row r="3" spans="2:11" ht="18.75" customHeight="1">
      <c r="B3" s="1" t="s">
        <v>44</v>
      </c>
      <c r="C3" s="1">
        <v>2024</v>
      </c>
      <c r="D3" s="1">
        <v>2025</v>
      </c>
      <c r="E3" s="1" t="s">
        <v>186</v>
      </c>
      <c r="F3" s="1" t="s">
        <v>187</v>
      </c>
      <c r="G3" s="4"/>
      <c r="H3" s="4"/>
      <c r="I3" s="4"/>
      <c r="J3" s="4"/>
      <c r="K3" s="4"/>
    </row>
    <row r="4" spans="2:11" ht="15">
      <c r="B4" s="19" t="s">
        <v>35</v>
      </c>
      <c r="C4" s="20">
        <f>'02 Výsledovka'!C4</f>
        <v>11081953</v>
      </c>
      <c r="D4" s="20">
        <f>'02 Výsledovka'!D4</f>
        <v>10754328</v>
      </c>
      <c r="E4" s="20">
        <f>'02 Výsledovka'!E4</f>
        <v>-327625</v>
      </c>
      <c r="F4" s="20" t="s">
        <v>11</v>
      </c>
      <c r="G4" s="5"/>
      <c r="H4" s="5"/>
      <c r="I4" s="5"/>
      <c r="J4" s="5"/>
      <c r="K4" s="4"/>
    </row>
    <row r="5" spans="2:11" ht="15">
      <c r="B5" s="19" t="s">
        <v>46</v>
      </c>
      <c r="C5" s="23">
        <f>'02 Výsledovka'!C16</f>
        <v>0.45522779242972788</v>
      </c>
      <c r="D5" s="23">
        <f>'02 Výsledovka'!D16</f>
        <v>0.47230547552576041</v>
      </c>
      <c r="E5" s="20">
        <f>'02 Výsledovka'!E16</f>
        <v>1.7077683096032525</v>
      </c>
      <c r="F5" s="20" t="s">
        <v>11</v>
      </c>
      <c r="G5" s="5"/>
      <c r="H5" s="5"/>
      <c r="I5" s="5"/>
      <c r="J5" s="5"/>
      <c r="K5" s="4"/>
    </row>
    <row r="6" spans="2:11" ht="15">
      <c r="B6" s="19" t="s">
        <v>71</v>
      </c>
      <c r="C6" s="20">
        <f>'04 Zásoby'!C6</f>
        <v>941884</v>
      </c>
      <c r="D6" s="20">
        <f>'04 Zásoby'!D6</f>
        <v>1008021</v>
      </c>
      <c r="E6" s="20">
        <f>'04 Zásoby'!E6</f>
        <v>66137</v>
      </c>
      <c r="F6" s="20" t="s">
        <v>15</v>
      </c>
      <c r="G6" s="5"/>
      <c r="H6" s="5"/>
      <c r="I6" s="5"/>
      <c r="J6" s="5"/>
      <c r="K6" s="4"/>
    </row>
    <row r="7" spans="2:11" ht="15">
      <c r="B7" s="19" t="s">
        <v>188</v>
      </c>
      <c r="C7" s="23">
        <f>'04 Zásoby'!C11</f>
        <v>3.2990183949561457E-2</v>
      </c>
      <c r="D7" s="23">
        <f>'04 Zásoby'!D11</f>
        <v>2.8215858839725477E-2</v>
      </c>
      <c r="E7" s="20">
        <f>'04 Zásoby'!E11</f>
        <v>-0.47743251098359801</v>
      </c>
      <c r="F7" s="20" t="s">
        <v>15</v>
      </c>
      <c r="G7" s="5"/>
      <c r="H7" s="5"/>
      <c r="I7" s="5"/>
      <c r="J7" s="5"/>
      <c r="K7" s="4"/>
    </row>
    <row r="8" spans="2:11" ht="15">
      <c r="B8" s="19" t="s">
        <v>189</v>
      </c>
      <c r="C8" s="23">
        <f>'05 Pohledávky'!C25</f>
        <v>0.13893221374823342</v>
      </c>
      <c r="D8" s="23">
        <f>'05 Pohledávky'!D25</f>
        <v>0.16583195970937101</v>
      </c>
      <c r="E8" s="20">
        <f>'05 Pohledávky'!E25</f>
        <v>2.6899745961137587</v>
      </c>
      <c r="F8" s="20" t="s">
        <v>17</v>
      </c>
      <c r="G8" s="5"/>
      <c r="H8" s="5"/>
      <c r="I8" s="5"/>
      <c r="J8" s="5"/>
      <c r="K8" s="4"/>
    </row>
    <row r="9" spans="2:11" ht="15">
      <c r="B9" s="19" t="s">
        <v>190</v>
      </c>
      <c r="C9" s="23">
        <f>'05 Pohledávky'!C24</f>
        <v>3.3070307228071964E-2</v>
      </c>
      <c r="D9" s="23">
        <f>'05 Pohledávky'!D24</f>
        <v>3.3938605591746669E-2</v>
      </c>
      <c r="E9" s="20">
        <f>'05 Pohledávky'!E24</f>
        <v>8.6829836367470492E-2</v>
      </c>
      <c r="F9" s="20" t="s">
        <v>17</v>
      </c>
      <c r="G9" s="5"/>
      <c r="H9" s="5"/>
      <c r="I9" s="5"/>
      <c r="J9" s="5"/>
      <c r="K9" s="4"/>
    </row>
    <row r="10" spans="2:11" ht="15">
      <c r="B10" s="19" t="s">
        <v>191</v>
      </c>
      <c r="C10" s="20">
        <f>'06 Dlouhodobý majetek'!C4</f>
        <v>4410318</v>
      </c>
      <c r="D10" s="20">
        <f>'06 Dlouhodobý majetek'!D4</f>
        <v>5267049</v>
      </c>
      <c r="E10" s="20">
        <f>'06 Dlouhodobý majetek'!E4</f>
        <v>856731</v>
      </c>
      <c r="F10" s="20" t="s">
        <v>19</v>
      </c>
      <c r="G10" s="5"/>
      <c r="H10" s="5"/>
      <c r="I10" s="5"/>
      <c r="J10" s="5"/>
      <c r="K10" s="4"/>
    </row>
    <row r="11" spans="2:11" ht="15">
      <c r="B11" s="19" t="s">
        <v>192</v>
      </c>
      <c r="C11" s="20">
        <f>'06 Dlouhodobý majetek'!C17</f>
        <v>1253</v>
      </c>
      <c r="D11" s="20">
        <f>'06 Dlouhodobý majetek'!D17</f>
        <v>1250</v>
      </c>
      <c r="E11" s="20">
        <f>D11-C11</f>
        <v>-3</v>
      </c>
      <c r="F11" s="20" t="s">
        <v>19</v>
      </c>
      <c r="G11" s="5"/>
      <c r="H11" s="5"/>
      <c r="I11" s="5"/>
      <c r="J11" s="5"/>
      <c r="K11" s="4"/>
    </row>
    <row r="12" spans="2:11" ht="15">
      <c r="B12" s="19" t="s">
        <v>131</v>
      </c>
      <c r="C12" s="20">
        <f>'07 Rozvaha a likvidita'!C20</f>
        <v>0.88262866810508678</v>
      </c>
      <c r="D12" s="20">
        <f>'07 Rozvaha a likvidita'!D20</f>
        <v>0.73944067069672015</v>
      </c>
      <c r="E12" s="20">
        <f>'07 Rozvaha a likvidita'!E20</f>
        <v>-0.14318799740836663</v>
      </c>
      <c r="F12" s="20" t="s">
        <v>21</v>
      </c>
      <c r="G12" s="5"/>
      <c r="H12" s="5"/>
      <c r="I12" s="5"/>
      <c r="J12" s="5"/>
      <c r="K12" s="4"/>
    </row>
    <row r="13" spans="2:11" ht="15">
      <c r="B13" s="19" t="s">
        <v>193</v>
      </c>
      <c r="C13" s="20">
        <f>'07 Rozvaha a likvidita'!C19</f>
        <v>-482295</v>
      </c>
      <c r="D13" s="20">
        <f>'07 Rozvaha a likvidita'!D19</f>
        <v>-1078947</v>
      </c>
      <c r="E13" s="20">
        <f>'07 Rozvaha a likvidita'!E19</f>
        <v>-596652</v>
      </c>
      <c r="F13" s="20" t="s">
        <v>21</v>
      </c>
      <c r="G13" s="5"/>
      <c r="H13" s="5"/>
      <c r="I13" s="5"/>
      <c r="J13" s="5"/>
      <c r="K13" s="4"/>
    </row>
    <row r="14" spans="2:11" ht="15">
      <c r="B14" s="19" t="s">
        <v>136</v>
      </c>
      <c r="C14" s="20">
        <f>'08 Peněžní toky'!C4</f>
        <v>1676086</v>
      </c>
      <c r="D14" s="20">
        <f>'08 Peněžní toky'!D4</f>
        <v>1216853</v>
      </c>
      <c r="E14" s="20">
        <f>'08 Peněžní toky'!E4</f>
        <v>-459233</v>
      </c>
      <c r="F14" s="20" t="s">
        <v>23</v>
      </c>
      <c r="G14" s="5"/>
      <c r="H14" s="5"/>
      <c r="I14" s="5"/>
      <c r="J14" s="5"/>
      <c r="K14" s="4"/>
    </row>
    <row r="15" spans="2:11" ht="15">
      <c r="B15" s="19" t="s">
        <v>194</v>
      </c>
      <c r="C15" s="20">
        <f>'08 Peněžní toky'!C23</f>
        <v>851439</v>
      </c>
      <c r="D15" s="20">
        <f>'08 Peněžní toky'!D23</f>
        <v>-7603</v>
      </c>
      <c r="E15" s="20">
        <f>'08 Peněžní toky'!E23</f>
        <v>-859042</v>
      </c>
      <c r="F15" s="20" t="s">
        <v>23</v>
      </c>
      <c r="G15" s="5"/>
      <c r="H15" s="5"/>
      <c r="I15" s="5"/>
      <c r="J15" s="5"/>
      <c r="K15" s="4"/>
    </row>
    <row r="16" spans="2:11" ht="15">
      <c r="B16" s="19" t="s">
        <v>195</v>
      </c>
      <c r="C16" s="20">
        <f>'08 Peněžní toky'!C29</f>
        <v>2.2091842518024492</v>
      </c>
      <c r="D16" s="20">
        <f>'08 Peněžní toky'!D29</f>
        <v>1.3268834862105212</v>
      </c>
      <c r="E16" s="20">
        <f>'08 Peněžní toky'!E29</f>
        <v>-0.88230076559192794</v>
      </c>
      <c r="F16" s="20" t="s">
        <v>23</v>
      </c>
      <c r="G16" s="5"/>
      <c r="H16" s="5"/>
      <c r="I16" s="5"/>
      <c r="J16" s="5"/>
      <c r="K16" s="4"/>
    </row>
    <row r="17" spans="2:11" ht="15">
      <c r="B17" s="19" t="s">
        <v>196</v>
      </c>
      <c r="C17" s="20">
        <f>'09 Dluh a splatnost'!C24</f>
        <v>1365090</v>
      </c>
      <c r="D17" s="20">
        <f>'09 Dluh a splatnost'!D24</f>
        <v>1832409</v>
      </c>
      <c r="E17" s="20">
        <f>'09 Dluh a splatnost'!E24</f>
        <v>467319</v>
      </c>
      <c r="F17" s="20" t="s">
        <v>25</v>
      </c>
      <c r="G17" s="5"/>
      <c r="H17" s="5"/>
      <c r="I17" s="5"/>
      <c r="J17" s="5"/>
      <c r="K17" s="4"/>
    </row>
    <row r="18" spans="2:11" ht="15">
      <c r="B18" s="19" t="s">
        <v>182</v>
      </c>
      <c r="C18" s="20">
        <f>'09 Dluh a splatnost'!C31</f>
        <v>2.1359723478304091</v>
      </c>
      <c r="D18" s="20">
        <f>'09 Dluh a splatnost'!D31</f>
        <v>3.0198338071528767</v>
      </c>
      <c r="E18" s="20">
        <f>'09 Dluh a splatnost'!E31</f>
        <v>0.88386145932246762</v>
      </c>
      <c r="F18" s="20" t="s">
        <v>25</v>
      </c>
      <c r="G18" s="5"/>
      <c r="H18" s="5"/>
      <c r="I18" s="5"/>
      <c r="J18" s="5"/>
      <c r="K18" s="4"/>
    </row>
    <row r="19" spans="2:11" ht="15">
      <c r="B19" s="19"/>
      <c r="C19" s="19"/>
      <c r="D19" s="19"/>
      <c r="E19" s="19"/>
      <c r="F19" s="19"/>
      <c r="G19" s="4"/>
      <c r="H19" s="4"/>
      <c r="I19" s="4"/>
      <c r="J19" s="4"/>
      <c r="K19" s="4"/>
    </row>
    <row r="20" spans="2:11" ht="15">
      <c r="B20" s="19"/>
      <c r="C20" s="19"/>
      <c r="D20" s="19"/>
      <c r="E20" s="19"/>
      <c r="F20" s="19"/>
      <c r="G20" s="4"/>
      <c r="H20" s="4"/>
      <c r="I20" s="4"/>
      <c r="J20" s="4"/>
      <c r="K20" s="4"/>
    </row>
    <row r="21" spans="2:11" ht="15"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2:11">
      <c r="B22" s="10" t="s">
        <v>205</v>
      </c>
      <c r="C22" s="10"/>
      <c r="D22" s="10"/>
      <c r="E22" s="10"/>
      <c r="F22" s="10"/>
      <c r="G22" s="10"/>
      <c r="H22" s="10"/>
      <c r="I22" s="10"/>
      <c r="J22" s="10"/>
      <c r="K22" s="10"/>
    </row>
    <row r="23" spans="2:11" ht="15"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2:11" ht="15"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2:11" ht="15"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2:11" ht="15"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2:11" ht="15"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2:11" ht="15"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2:11" ht="15"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2:11" ht="15"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2:11" ht="15"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2:11" ht="15"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2:11" ht="15"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2:11" ht="15"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2:11" ht="15"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2:11" ht="15"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2:11" ht="15"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2:11" ht="15"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2:11" ht="15"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2:11" ht="15"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2:11" ht="15"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2:11" ht="15"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2:11" ht="15"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2:11" ht="15"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2:11" ht="15"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2:11" ht="15"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2:11" ht="15"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2:11" ht="15"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2:11" ht="15"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2:11" ht="15"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2:11" ht="15"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2:11" ht="15"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2:11" ht="15"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2:11" ht="15"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2:11" ht="15"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2:11" ht="15"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2:11" ht="15"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2:11" ht="15"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2:11" ht="15"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2:11" ht="15"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2:11" ht="15"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2:11" ht="15"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2:11" ht="15"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2:11" ht="15"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2:11" ht="15"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2:11" ht="15"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2:11" ht="15"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2:11" ht="15"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2:11" ht="15"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2:11" ht="15"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2:11" ht="15"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2:11" ht="15"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2:11" ht="15"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2:11" ht="15"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2:11" ht="15"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2:11" ht="15"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2:11" ht="15"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2:11" ht="15"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2:11" ht="15"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2:11" ht="15"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2:11" ht="15"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2:11" ht="15"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2:11" ht="15"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2:11" ht="15"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2:11" ht="15"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2:11" ht="15"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2:11" ht="15"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2:11" ht="15"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2:11" ht="15"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2:11" ht="15"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2:11" ht="15"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2:11" ht="15"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2:11" ht="15"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2:11" ht="15"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2:11" ht="15"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2:11" ht="15"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2:11" ht="15"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2:11" ht="15"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2:11" ht="15"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2:11" ht="15"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spans="2:11" ht="15"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spans="2:11" ht="15"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spans="2:11" ht="15"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2:11" ht="15"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2:11" ht="15"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2:11" ht="15"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2:11" ht="15"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2:11" ht="15"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2:11" ht="15"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2:11" ht="15"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2:11" ht="15"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2:11" ht="15"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2:11" ht="15"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2:11" ht="15"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2:11" ht="15"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2:11" ht="15"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2:11" ht="15"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2:11" ht="15"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2:11" ht="15"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2:11" ht="15"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2:11" ht="15"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2:11" ht="15"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2:11" ht="15"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2:11" ht="15"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2:11" ht="15">
      <c r="B125" s="4"/>
      <c r="C125" s="4"/>
      <c r="D125" s="4"/>
      <c r="E125" s="4"/>
      <c r="F125" s="4"/>
      <c r="G125" s="4"/>
      <c r="H125" s="4"/>
      <c r="I125" s="4"/>
      <c r="J125" s="4"/>
      <c r="K12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01 Úvod</vt:lpstr>
      <vt:lpstr>02 Výsledovka</vt:lpstr>
      <vt:lpstr>03 Segmenty</vt:lpstr>
      <vt:lpstr>04 Zásoby</vt:lpstr>
      <vt:lpstr>05 Pohledávky</vt:lpstr>
      <vt:lpstr>06 Dlouhodobý majetek</vt:lpstr>
      <vt:lpstr>07 Rozvaha a likvidita</vt:lpstr>
      <vt:lpstr>08 Peněžní toky</vt:lpstr>
      <vt:lpstr>09 Dluh a splatnost</vt:lpstr>
      <vt:lpstr>10 Souhrn propočtů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kapam</dc:creator>
  <cp:lastModifiedBy>Sebastian Palme</cp:lastModifiedBy>
  <dcterms:created xsi:type="dcterms:W3CDTF">2026-10-10T20:46:32Z</dcterms:created>
  <dcterms:modified xsi:type="dcterms:W3CDTF">2026-10-10T21:23:26Z</dcterms:modified>
</cp:coreProperties>
</file>